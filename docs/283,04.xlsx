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NZER\Desktop\LuxERP1_1-main\docs\"/>
    </mc:Choice>
  </mc:AlternateContent>
  <bookViews>
    <workbookView xWindow="0" yWindow="0" windowWidth="24000" windowHeight="9135"/>
  </bookViews>
  <sheets>
    <sheet name="СПЕЦИФИКАЦИЯ" sheetId="1" r:id="rId1"/>
    <sheet name="Лист1" sheetId="2" state="hidden" r:id="rId2"/>
  </sheets>
  <definedNames>
    <definedName name="Заказчик">#REF!</definedName>
    <definedName name="_xlnm.Print_Area" localSheetId="0">СПЕЦИФИКАЦИЯ!$A$1:$N$59</definedName>
    <definedName name="ооо">Лист1!$J$3:$J$6</definedName>
  </definedNames>
  <calcPr calcId="152511"/>
</workbook>
</file>

<file path=xl/calcChain.xml><?xml version="1.0" encoding="utf-8"?>
<calcChain xmlns="http://schemas.openxmlformats.org/spreadsheetml/2006/main">
  <c r="M46" i="1" l="1"/>
  <c r="N33" i="1"/>
  <c r="D33" i="1"/>
  <c r="M32" i="1"/>
  <c r="N32" i="1" s="1"/>
  <c r="L32" i="1"/>
  <c r="K32" i="1"/>
  <c r="M31" i="1"/>
  <c r="N31" i="1" s="1"/>
  <c r="L31" i="1"/>
  <c r="K31" i="1"/>
  <c r="M30" i="1"/>
  <c r="N30" i="1" s="1"/>
  <c r="L30" i="1"/>
  <c r="K30" i="1"/>
  <c r="M29" i="1"/>
  <c r="N29" i="1" s="1"/>
  <c r="L29" i="1"/>
  <c r="K29" i="1"/>
  <c r="M28" i="1"/>
  <c r="N28" i="1" s="1"/>
  <c r="L28" i="1"/>
  <c r="K28" i="1"/>
  <c r="M27" i="1"/>
  <c r="N27" i="1" s="1"/>
  <c r="L27" i="1"/>
  <c r="K27" i="1"/>
  <c r="M25" i="1"/>
  <c r="N25" i="1" s="1"/>
  <c r="L25" i="1"/>
  <c r="K25" i="1"/>
  <c r="M24" i="1"/>
  <c r="N24" i="1" s="1"/>
  <c r="K24" i="1"/>
  <c r="L24" i="1" s="1"/>
  <c r="M23" i="1"/>
  <c r="N23" i="1" s="1"/>
  <c r="K23" i="1"/>
  <c r="L23" i="1" s="1"/>
  <c r="M22" i="1"/>
  <c r="N22" i="1" s="1"/>
  <c r="K22" i="1"/>
  <c r="L22" i="1" s="1"/>
  <c r="M21" i="1"/>
  <c r="N21" i="1" s="1"/>
  <c r="K21" i="1"/>
  <c r="L21" i="1" s="1"/>
  <c r="M20" i="1"/>
  <c r="N20" i="1" s="1"/>
  <c r="K20" i="1"/>
  <c r="L20" i="1" s="1"/>
  <c r="M19" i="1"/>
  <c r="N19" i="1" s="1"/>
  <c r="K19" i="1"/>
  <c r="L19" i="1" s="1"/>
  <c r="M18" i="1"/>
  <c r="N18" i="1" s="1"/>
  <c r="K18" i="1"/>
  <c r="L18" i="1" s="1"/>
  <c r="N16" i="1" l="1"/>
  <c r="N15" i="1"/>
  <c r="K15" i="1"/>
</calcChain>
</file>

<file path=xl/sharedStrings.xml><?xml version="1.0" encoding="utf-8"?>
<sst xmlns="http://schemas.openxmlformats.org/spreadsheetml/2006/main" count="94" uniqueCount="87">
  <si>
    <t>Спецификация №</t>
  </si>
  <si>
    <t>283/04</t>
  </si>
  <si>
    <t>от</t>
  </si>
  <si>
    <t>ИП</t>
  </si>
  <si>
    <t>Звонцов</t>
  </si>
  <si>
    <t>номер</t>
  </si>
  <si>
    <t>дата оформления</t>
  </si>
  <si>
    <t>юр/ч.л</t>
  </si>
  <si>
    <t>заказчик</t>
  </si>
  <si>
    <t xml:space="preserve">В ПРОИЗВОДСТВЕ </t>
  </si>
  <si>
    <t>ДАТА ГОТОВНОСТИ</t>
  </si>
  <si>
    <t>покраска</t>
  </si>
  <si>
    <t>мат/лам</t>
  </si>
  <si>
    <t>Страйк 20</t>
  </si>
  <si>
    <t>ДАТА ОТГРУЗКИ</t>
  </si>
  <si>
    <t>категория</t>
  </si>
  <si>
    <t xml:space="preserve">тип </t>
  </si>
  <si>
    <t>толщина</t>
  </si>
  <si>
    <t>NCS S 1505-Y40R, NCS S 3030-Y60R</t>
  </si>
  <si>
    <t>остаток</t>
  </si>
  <si>
    <t>цвет</t>
  </si>
  <si>
    <t>предоплата</t>
  </si>
  <si>
    <t>S общ.</t>
  </si>
  <si>
    <t>стыковка по схеме</t>
  </si>
  <si>
    <t>М2</t>
  </si>
  <si>
    <t xml:space="preserve">     ИТОГО  </t>
  </si>
  <si>
    <t>размер</t>
  </si>
  <si>
    <t>м2</t>
  </si>
  <si>
    <t>высота</t>
  </si>
  <si>
    <t>ширина</t>
  </si>
  <si>
    <t>кол. Шт.</t>
  </si>
  <si>
    <t>примечание</t>
  </si>
  <si>
    <t>цена за м2</t>
  </si>
  <si>
    <t>1 ед</t>
  </si>
  <si>
    <t>общая</t>
  </si>
  <si>
    <t>Страйк 20, NCS S 1505-Y40R</t>
  </si>
  <si>
    <t>R 2, NCS S 1505-Y40R</t>
  </si>
  <si>
    <t>Страйк 20, NCS S 3030-Y60R</t>
  </si>
  <si>
    <t>R 2, NCS S 3030-Y60R</t>
  </si>
  <si>
    <t>+ РЕМ.КОМПЛЕКТ</t>
  </si>
  <si>
    <t xml:space="preserve">ПРОВЕРЯЙТЕ ПРАВИЛЬНОСТЬ ВНЕСЕННЫХ ДАННЫХ В СПЕЦИФИКАЦИИ                                                                              ПРЕТЕНЗИИ ПОСЛЕ ОПЛАТЫ ИЛИ ПОДТВЕРЖДЕНИЯ НЕ ПРИНИМАЮТСЯ </t>
  </si>
  <si>
    <t>Исполнитель</t>
  </si>
  <si>
    <t>Заказчик</t>
  </si>
  <si>
    <t xml:space="preserve">                                                  </t>
  </si>
  <si>
    <t>м.п.</t>
  </si>
  <si>
    <r>
      <t xml:space="preserve">Общество с ограниченной ответственностью "ФАСАД ЛЮКС" 
ИНН: 7811641022
КПП: 781101001
ОГРН: 1177847089342
 Расчетный счет: 40702810636060000012
Банк: ФИЛИАЛ "ЦЕНТРАЛЬНЫЙ" БАНКА ВТБ (ПАО)
БИК: 044525411
Корр. счет: 30101810145250000411
Юридический адрес: 192148, Санкт-Петербург г, Крупской ул, дом 43, литер А, помещение 3С
Тел. :  </t>
    </r>
    <r>
      <rPr>
        <b/>
        <sz val="12"/>
        <color indexed="8"/>
        <rFont val="Times New Roman"/>
        <family val="1"/>
        <charset val="204"/>
      </rPr>
      <t>+7 (812) 336 43 03</t>
    </r>
    <r>
      <rPr>
        <sz val="10"/>
        <color indexed="8"/>
        <rFont val="Times New Roman"/>
        <family val="1"/>
        <charset val="204"/>
      </rPr>
      <t xml:space="preserve">
</t>
    </r>
  </si>
  <si>
    <t>тип</t>
  </si>
  <si>
    <t>Толщина</t>
  </si>
  <si>
    <t>Фрезеровка</t>
  </si>
  <si>
    <t>ооо</t>
  </si>
  <si>
    <t>10</t>
  </si>
  <si>
    <t>R 3</t>
  </si>
  <si>
    <t>ООО</t>
  </si>
  <si>
    <t>ПВХ</t>
  </si>
  <si>
    <t>мат/мат</t>
  </si>
  <si>
    <t>R минимальный</t>
  </si>
  <si>
    <t>шпон</t>
  </si>
  <si>
    <t>глянец/лам</t>
  </si>
  <si>
    <t>Альфа</t>
  </si>
  <si>
    <t>ч/л</t>
  </si>
  <si>
    <t>глянец/мат</t>
  </si>
  <si>
    <t>Ампир</t>
  </si>
  <si>
    <t>ЗАО</t>
  </si>
  <si>
    <t>глянец/глянец</t>
  </si>
  <si>
    <t xml:space="preserve">Антик </t>
  </si>
  <si>
    <t>глянец</t>
  </si>
  <si>
    <t>Антик ФЛ</t>
  </si>
  <si>
    <t>матовая</t>
  </si>
  <si>
    <t>Барселона</t>
  </si>
  <si>
    <t>мат+лак/лам</t>
  </si>
  <si>
    <t>Бастион</t>
  </si>
  <si>
    <t>без R</t>
  </si>
  <si>
    <t>Версаль</t>
  </si>
  <si>
    <t>Виктория</t>
  </si>
  <si>
    <t>детали заказчика</t>
  </si>
  <si>
    <t>Дрезден</t>
  </si>
  <si>
    <t>Каприччио</t>
  </si>
  <si>
    <t>Корсико</t>
  </si>
  <si>
    <t>Лондон</t>
  </si>
  <si>
    <t>Неаполь</t>
  </si>
  <si>
    <t>Неаполь ФЛ</t>
  </si>
  <si>
    <t>Оксфорд</t>
  </si>
  <si>
    <t>Палермо</t>
  </si>
  <si>
    <t>Соренто</t>
  </si>
  <si>
    <t>Эрмитаж</t>
  </si>
  <si>
    <t>Эксперт</t>
  </si>
  <si>
    <t>Сенат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</si>
</sst>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8" formatCode="_-* #,##0.00&quot;р.&quot;_-;\-* #,##0.00&quot;р.&quot;_-;_-* &quot;-&quot;??&quot;р.&quot;_-;_-@_-"/>
    <numFmt numFmtId="169" formatCode="_-* #,##0.00_р_._-;\-* #,##0.00_р_._-;_-* &quot;-&quot;??_р_._-;_-@_-"/>
    <numFmt numFmtId="170" formatCode="0.00;[Red]0.00"/>
    <numFmt numFmtId="171" formatCode="000000"/>
    <numFmt numFmtId="172" formatCode="dd/mm/yy;@"/>
    <numFmt numFmtId="173" formatCode="#,##0.00\ _₽;[Red]#,##0.00\ _₽"/>
    <numFmt numFmtId="174" formatCode="_-* #,##0.00[$р.-419]_-;\-* #,##0.00[$р.-419]_-;_-* &quot;-&quot;??[$р.-419]_-;_-@_-"/>
    <numFmt numFmtId="175" formatCode="0.000"/>
  </numFmts>
  <fonts count="46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8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  <font>
      <b/>
      <sz val="18"/>
      <name val="Calibri"/>
      <family val="2"/>
      <charset val="204"/>
    </font>
    <font>
      <b/>
      <sz val="20"/>
      <color indexed="8"/>
      <name val="Calibri"/>
      <family val="2"/>
      <charset val="204"/>
    </font>
    <font>
      <b/>
      <sz val="16"/>
      <color indexed="8"/>
      <name val="Calibri"/>
      <family val="2"/>
      <charset val="204"/>
    </font>
    <font>
      <sz val="18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sz val="36"/>
      <color indexed="8"/>
      <name val="Calibri"/>
      <family val="2"/>
      <charset val="204"/>
    </font>
    <font>
      <sz val="16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4"/>
      <color indexed="60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60"/>
      <name val="Calibri"/>
      <family val="2"/>
      <charset val="204"/>
    </font>
    <font>
      <b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2"/>
      <color indexed="8"/>
      <name val="Calibri"/>
      <family val="2"/>
      <charset val="204"/>
    </font>
    <font>
      <b/>
      <sz val="22"/>
      <color indexed="8"/>
      <name val="Calibri"/>
      <family val="2"/>
      <charset val="204"/>
    </font>
    <font>
      <sz val="26"/>
      <color indexed="8"/>
      <name val="Calibri"/>
      <family val="2"/>
      <charset val="204"/>
    </font>
    <font>
      <b/>
      <sz val="12"/>
      <color indexed="10"/>
      <name val="Calibri"/>
      <family val="2"/>
      <charset val="204"/>
    </font>
    <font>
      <sz val="14"/>
      <color indexed="8"/>
      <name val="Calibri"/>
      <family val="2"/>
      <charset val="204"/>
    </font>
    <font>
      <sz val="11"/>
      <name val="Calibri"/>
      <family val="2"/>
      <charset val="204"/>
    </font>
    <font>
      <b/>
      <sz val="26"/>
      <color indexed="8"/>
      <name val="Calibri"/>
      <family val="2"/>
      <charset val="204"/>
    </font>
    <font>
      <b/>
      <sz val="48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b/>
      <sz val="18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A6A6A6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44">
    <xf numFmtId="0" fontId="0" fillId="0" borderId="0"/>
    <xf numFmtId="169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9">
    <xf numFmtId="0" fontId="0" fillId="0" borderId="0" xfId="0"/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7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0" fontId="28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 shrinkToFit="1"/>
    </xf>
    <xf numFmtId="0" fontId="23" fillId="34" borderId="0" xfId="0" applyFont="1" applyFill="1" applyBorder="1" applyAlignment="1">
      <alignment horizontal="center" vertical="center"/>
    </xf>
    <xf numFmtId="14" fontId="19" fillId="33" borderId="11" xfId="0" applyNumberFormat="1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/>
    </xf>
    <xf numFmtId="14" fontId="22" fillId="33" borderId="14" xfId="0" applyNumberFormat="1" applyFont="1" applyFill="1" applyBorder="1" applyAlignment="1">
      <alignment horizontal="center" vertical="center"/>
    </xf>
    <xf numFmtId="14" fontId="22" fillId="33" borderId="15" xfId="0" applyNumberFormat="1" applyFont="1" applyFill="1" applyBorder="1" applyAlignment="1">
      <alignment horizontal="center" vertical="center"/>
    </xf>
    <xf numFmtId="14" fontId="22" fillId="33" borderId="16" xfId="0" applyNumberFormat="1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4" fontId="35" fillId="0" borderId="0" xfId="0" applyNumberFormat="1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14" fontId="35" fillId="0" borderId="13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72" fontId="19" fillId="33" borderId="11" xfId="0" applyNumberFormat="1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14" fontId="23" fillId="0" borderId="1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41" fillId="33" borderId="11" xfId="0" applyNumberFormat="1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 shrinkToFit="1"/>
    </xf>
    <xf numFmtId="0" fontId="22" fillId="33" borderId="15" xfId="0" applyFont="1" applyFill="1" applyBorder="1" applyAlignment="1">
      <alignment horizontal="center" vertical="center" shrinkToFit="1"/>
    </xf>
    <xf numFmtId="0" fontId="22" fillId="33" borderId="16" xfId="0" applyFont="1" applyFill="1" applyBorder="1" applyAlignment="1">
      <alignment horizontal="center" vertical="center" shrinkToFit="1"/>
    </xf>
    <xf numFmtId="0" fontId="39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19" fillId="0" borderId="17" xfId="0" applyFont="1" applyBorder="1" applyAlignment="1">
      <alignment horizontal="center" vertical="center"/>
    </xf>
    <xf numFmtId="173" fontId="19" fillId="33" borderId="1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170" fontId="19" fillId="33" borderId="20" xfId="0" applyNumberFormat="1" applyFont="1" applyFill="1" applyBorder="1" applyAlignment="1">
      <alignment horizontal="center" vertical="center"/>
    </xf>
    <xf numFmtId="170" fontId="19" fillId="33" borderId="21" xfId="0" applyNumberFormat="1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169" fontId="19" fillId="33" borderId="22" xfId="0" applyNumberFormat="1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0" fillId="35" borderId="24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20" fillId="0" borderId="25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vertical="center"/>
    </xf>
    <xf numFmtId="169" fontId="20" fillId="0" borderId="19" xfId="0" applyNumberFormat="1" applyFont="1" applyFill="1" applyBorder="1" applyAlignment="1">
      <alignment vertical="center"/>
    </xf>
    <xf numFmtId="0" fontId="0" fillId="0" borderId="26" xfId="0" applyFill="1" applyBorder="1" applyAlignment="1">
      <alignment horizontal="center" vertical="center"/>
    </xf>
    <xf numFmtId="0" fontId="20" fillId="35" borderId="27" xfId="0" applyFont="1" applyFill="1" applyBorder="1" applyAlignment="1">
      <alignment horizontal="center" vertical="center"/>
    </xf>
    <xf numFmtId="0" fontId="20" fillId="35" borderId="28" xfId="0" applyFont="1" applyFill="1" applyBorder="1" applyAlignment="1">
      <alignment horizontal="center" vertical="center"/>
    </xf>
    <xf numFmtId="0" fontId="20" fillId="35" borderId="19" xfId="0" applyFont="1" applyFill="1" applyBorder="1" applyAlignment="1">
      <alignment horizontal="center" vertical="center"/>
    </xf>
    <xf numFmtId="0" fontId="20" fillId="35" borderId="20" xfId="0" applyFont="1" applyFill="1" applyBorder="1" applyAlignment="1">
      <alignment horizontal="center" vertical="center"/>
    </xf>
    <xf numFmtId="0" fontId="20" fillId="35" borderId="21" xfId="0" applyFont="1" applyFill="1" applyBorder="1" applyAlignment="1">
      <alignment horizontal="center" vertical="center"/>
    </xf>
    <xf numFmtId="0" fontId="20" fillId="35" borderId="25" xfId="0" applyFont="1" applyFill="1" applyBorder="1" applyAlignment="1">
      <alignment horizontal="center" vertical="center"/>
    </xf>
    <xf numFmtId="0" fontId="20" fillId="35" borderId="29" xfId="0" applyFont="1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30" xfId="0" applyFill="1" applyBorder="1" applyAlignment="1">
      <alignment horizontal="center" vertical="center"/>
    </xf>
    <xf numFmtId="0" fontId="19" fillId="33" borderId="19" xfId="0" applyFont="1" applyFill="1" applyBorder="1" applyAlignment="1">
      <alignment horizontal="center" vertical="center"/>
    </xf>
    <xf numFmtId="0" fontId="19" fillId="33" borderId="20" xfId="0" applyFont="1" applyFill="1" applyBorder="1" applyAlignment="1">
      <alignment horizontal="center" vertical="center" shrinkToFit="1"/>
    </xf>
    <xf numFmtId="0" fontId="19" fillId="33" borderId="21" xfId="0" applyFont="1" applyFill="1" applyBorder="1" applyAlignment="1">
      <alignment horizontal="center" vertical="center" shrinkToFit="1"/>
    </xf>
    <xf numFmtId="0" fontId="19" fillId="33" borderId="25" xfId="0" applyFont="1" applyFill="1" applyBorder="1" applyAlignment="1">
      <alignment horizontal="center" vertical="center" shrinkToFit="1"/>
    </xf>
    <xf numFmtId="0" fontId="38" fillId="33" borderId="19" xfId="0" applyFont="1" applyFill="1" applyBorder="1" applyAlignment="1">
      <alignment horizontal="center" vertical="center"/>
    </xf>
    <xf numFmtId="175" fontId="35" fillId="33" borderId="31" xfId="0" applyNumberFormat="1" applyFont="1" applyFill="1" applyBorder="1" applyAlignment="1">
      <alignment horizontal="center" vertical="center"/>
    </xf>
    <xf numFmtId="0" fontId="35" fillId="33" borderId="32" xfId="0" applyFont="1" applyFill="1" applyBorder="1" applyAlignment="1">
      <alignment horizontal="center" vertical="center"/>
    </xf>
    <xf numFmtId="174" fontId="35" fillId="33" borderId="32" xfId="2" applyNumberFormat="1" applyFont="1" applyFill="1" applyBorder="1" applyAlignment="1">
      <alignment horizontal="center" vertical="center"/>
    </xf>
    <xf numFmtId="169" fontId="35" fillId="33" borderId="33" xfId="1" applyFont="1" applyFill="1" applyBorder="1" applyAlignment="1">
      <alignment horizontal="center" vertical="center"/>
    </xf>
    <xf numFmtId="168" fontId="18" fillId="33" borderId="0" xfId="2" applyFont="1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left" vertical="center"/>
    </xf>
    <xf numFmtId="0" fontId="19" fillId="0" borderId="21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0" fontId="38" fillId="36" borderId="19" xfId="0" applyFont="1" applyFill="1" applyBorder="1" applyAlignment="1">
      <alignment horizontal="center" vertical="center"/>
    </xf>
    <xf numFmtId="175" fontId="35" fillId="0" borderId="31" xfId="0" applyNumberFormat="1" applyFont="1" applyFill="1" applyBorder="1" applyAlignment="1">
      <alignment horizontal="center" vertical="center"/>
    </xf>
    <xf numFmtId="0" fontId="35" fillId="0" borderId="32" xfId="0" applyFont="1" applyFill="1" applyBorder="1" applyAlignment="1">
      <alignment horizontal="center" vertical="center"/>
    </xf>
    <xf numFmtId="174" fontId="35" fillId="0" borderId="32" xfId="2" applyNumberFormat="1" applyFont="1" applyFill="1" applyBorder="1" applyAlignment="1">
      <alignment horizontal="center" vertical="center"/>
    </xf>
    <xf numFmtId="169" fontId="35" fillId="0" borderId="33" xfId="1" applyFont="1" applyFill="1" applyBorder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7" borderId="30" xfId="0" applyFill="1" applyBorder="1" applyAlignment="1">
      <alignment horizontal="center" vertical="center"/>
    </xf>
    <xf numFmtId="0" fontId="19" fillId="37" borderId="20" xfId="0" applyFont="1" applyFill="1" applyBorder="1" applyAlignment="1">
      <alignment horizontal="center" vertical="center"/>
    </xf>
    <xf numFmtId="0" fontId="19" fillId="37" borderId="21" xfId="0" applyFont="1" applyFill="1" applyBorder="1" applyAlignment="1">
      <alignment horizontal="center" vertical="center"/>
    </xf>
    <xf numFmtId="0" fontId="19" fillId="37" borderId="25" xfId="0" applyFont="1" applyFill="1" applyBorder="1" applyAlignment="1">
      <alignment horizontal="center" vertical="center"/>
    </xf>
    <xf numFmtId="168" fontId="18" fillId="37" borderId="0" xfId="2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0" fontId="19" fillId="0" borderId="34" xfId="0" applyFont="1" applyFill="1" applyBorder="1" applyAlignment="1">
      <alignment horizontal="right" vertical="center"/>
    </xf>
    <xf numFmtId="0" fontId="19" fillId="33" borderId="29" xfId="0" applyFont="1" applyFill="1" applyBorder="1" applyAlignment="1">
      <alignment horizontal="center" vertical="center"/>
    </xf>
    <xf numFmtId="170" fontId="20" fillId="0" borderId="0" xfId="0" applyNumberFormat="1" applyFont="1" applyFill="1" applyBorder="1" applyAlignment="1">
      <alignment horizontal="center" vertical="center"/>
    </xf>
    <xf numFmtId="174" fontId="35" fillId="0" borderId="0" xfId="2" applyNumberFormat="1" applyFont="1" applyBorder="1" applyAlignment="1">
      <alignment horizontal="center" vertical="center"/>
    </xf>
    <xf numFmtId="169" fontId="35" fillId="0" borderId="33" xfId="1" applyFont="1" applyBorder="1" applyAlignment="1">
      <alignment horizontal="center" vertical="center"/>
    </xf>
    <xf numFmtId="0" fontId="42" fillId="0" borderId="0" xfId="0" quotePrefix="1" applyFont="1" applyAlignment="1">
      <alignment horizontal="center" vertical="center"/>
    </xf>
    <xf numFmtId="168" fontId="29" fillId="0" borderId="0" xfId="2" applyFont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68" fontId="31" fillId="0" borderId="0" xfId="2" applyFont="1" applyAlignment="1">
      <alignment horizontal="center" vertical="center"/>
    </xf>
    <xf numFmtId="168" fontId="32" fillId="34" borderId="0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 shrinkToFi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71" fontId="33" fillId="0" borderId="0" xfId="0" applyNumberFormat="1" applyFont="1" applyAlignment="1">
      <alignment horizontal="center" vertical="center"/>
    </xf>
    <xf numFmtId="171" fontId="0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8" xfId="0" applyFont="1" applyFill="1" applyBorder="1" applyAlignment="1">
      <alignment horizontal="center" vertical="center"/>
    </xf>
    <xf numFmtId="14" fontId="44" fillId="0" borderId="0" xfId="0" applyNumberFormat="1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top" wrapText="1"/>
    </xf>
    <xf numFmtId="0" fontId="25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3" fillId="0" borderId="0" xfId="0" applyFont="1" applyFill="1" applyAlignment="1">
      <alignment horizontal="center" vertical="center" wrapText="1" shrinkToFit="1"/>
    </xf>
    <xf numFmtId="0" fontId="36" fillId="0" borderId="0" xfId="0" applyFon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23" fillId="33" borderId="0" xfId="0" applyFont="1" applyFill="1"/>
    <xf numFmtId="0" fontId="0" fillId="33" borderId="0" xfId="0" applyFill="1"/>
    <xf numFmtId="0" fontId="27" fillId="33" borderId="0" xfId="0" applyFont="1" applyFill="1" applyAlignment="1">
      <alignment horizontal="center"/>
    </xf>
    <xf numFmtId="0" fontId="20" fillId="33" borderId="0" xfId="0" applyFont="1" applyFill="1"/>
    <xf numFmtId="0" fontId="39" fillId="33" borderId="0" xfId="0" applyFont="1" applyFill="1"/>
    <xf numFmtId="0" fontId="31" fillId="33" borderId="0" xfId="0" applyFont="1" applyFill="1"/>
    <xf numFmtId="0" fontId="23" fillId="0" borderId="0" xfId="0" applyFont="1"/>
    <xf numFmtId="0" fontId="0" fillId="0" borderId="0" xfId="0" applyBorder="1"/>
    <xf numFmtId="0" fontId="20" fillId="0" borderId="0" xfId="0" applyFont="1"/>
    <xf numFmtId="0" fontId="0" fillId="0" borderId="0" xfId="0" applyBorder="1" applyAlignment="1">
      <alignment shrinkToFit="1"/>
    </xf>
  </cellXfs>
  <cellStyles count="44">
    <cellStyle name="20% — акцент1" xfId="21" builtinId="30" customBuiltin="1"/>
    <cellStyle name="20% — акцент2" xfId="25" builtinId="34" customBuiltin="1"/>
    <cellStyle name="20% — акцент3" xfId="29" builtinId="38" customBuiltin="1"/>
    <cellStyle name="20% — акцент4" xfId="33" builtinId="42" customBuiltin="1"/>
    <cellStyle name="20% — акцент5" xfId="37" builtinId="46" customBuiltin="1"/>
    <cellStyle name="20% — акцент6" xfId="41" builtinId="50" customBuiltin="1"/>
    <cellStyle name="40% — акцент1" xfId="22" builtinId="31" customBuiltin="1"/>
    <cellStyle name="40% — акцент2" xfId="26" builtinId="35" customBuiltin="1"/>
    <cellStyle name="40% — акцент3" xfId="30" builtinId="39" customBuiltin="1"/>
    <cellStyle name="40% — акцент4" xfId="34" builtinId="43" customBuiltin="1"/>
    <cellStyle name="40% — акцент5" xfId="38" builtinId="47" customBuiltin="1"/>
    <cellStyle name="40% — акцент6" xfId="42" builtinId="51" customBuiltin="1"/>
    <cellStyle name="60% — акцент1" xfId="23" builtinId="32" customBuiltin="1"/>
    <cellStyle name="60% — акцент2" xfId="27" builtinId="36" customBuiltin="1"/>
    <cellStyle name="60% — акцент3" xfId="31" builtinId="40" customBuiltin="1"/>
    <cellStyle name="60% — акцент4" xfId="35" builtinId="44" customBuiltin="1"/>
    <cellStyle name="60% — акцент5" xfId="39" builtinId="48" customBuiltin="1"/>
    <cellStyle name="60% — акцент6" xfId="43" builtinId="52" customBuiltin="1"/>
    <cellStyle name="Акцент1" xfId="20" builtinId="29" customBuiltin="1"/>
    <cellStyle name="Акцент2" xfId="24" builtinId="33" customBuiltin="1"/>
    <cellStyle name="Акцент3" xfId="28" builtinId="37" customBuiltin="1"/>
    <cellStyle name="Акцент4" xfId="32" builtinId="41" customBuiltin="1"/>
    <cellStyle name="Акцент5" xfId="36" builtinId="45" customBuiltin="1"/>
    <cellStyle name="Акцент6" xfId="40" builtinId="49" customBuiltin="1"/>
    <cellStyle name="Ввод " xfId="11" builtinId="20" customBuiltin="1"/>
    <cellStyle name="Вывод" xfId="12" builtinId="21" customBuiltin="1"/>
    <cellStyle name="Вычисление" xfId="13" builtinId="22" customBuiltin="1"/>
    <cellStyle name="Денежный" xfId="2" builtinId="4" customBuiltin="1"/>
    <cellStyle name="Заголовок 1" xfId="4" builtinId="16" customBuiltin="1"/>
    <cellStyle name="Заголовок 2" xfId="5" builtinId="17" customBuiltin="1"/>
    <cellStyle name="Заголовок 3" xfId="6" builtinId="18" customBuiltin="1"/>
    <cellStyle name="Заголовок 4" xfId="7" builtinId="19" customBuiltin="1"/>
    <cellStyle name="Итог" xfId="19" builtinId="25" customBuiltin="1"/>
    <cellStyle name="Контрольная ячейка" xfId="15" builtinId="23" customBuiltin="1"/>
    <cellStyle name="Название" xfId="3" builtinId="15" customBuiltin="1"/>
    <cellStyle name="Нейтральный" xfId="10" builtinId="28" customBuiltin="1"/>
    <cellStyle name="Обычный" xfId="0" builtinId="0" customBuiltin="1"/>
    <cellStyle name="Плохой" xfId="9" builtinId="27" customBuiltin="1"/>
    <cellStyle name="Пояснение" xfId="18" builtinId="53" customBuiltin="1"/>
    <cellStyle name="Примечание" xfId="17" builtinId="10" customBuiltin="1"/>
    <cellStyle name="Связанная ячейка" xfId="14" builtinId="24" customBuiltin="1"/>
    <cellStyle name="Текст предупреждения" xfId="16" builtinId="11" customBuiltin="1"/>
    <cellStyle name="Финансовый" xfId="1" builtinId="3" customBuiltin="1"/>
    <cellStyle name="Хороший" xfId="8" builtinId="26" customBuiltin="1"/>
  </cellStyles>
  <dxfs count="2">
    <dxf>
      <font>
        <i val="0"/>
        <condense val="0"/>
        <extend val="0"/>
        <color rgb="FF006100"/>
      </font>
      <fill>
        <patternFill>
          <bgColor rgb="FFC6EF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19050</xdr:colOff>
      <xdr:row>4</xdr:row>
      <xdr:rowOff>66674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24475" cy="1247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3"/>
  <sheetViews>
    <sheetView tabSelected="1" view="pageBreakPreview" zoomScaleNormal="100" zoomScaleSheetLayoutView="100" workbookViewId="0">
      <selection activeCell="J19" sqref="J19:J25"/>
    </sheetView>
  </sheetViews>
  <sheetFormatPr defaultRowHeight="15" customHeight="1" x14ac:dyDescent="0.25"/>
  <cols>
    <col min="1" max="1" width="5.42578125" style="1" customWidth="1"/>
    <col min="2" max="2" width="11" style="1" customWidth="1"/>
    <col min="3" max="3" width="10.5703125" style="1" customWidth="1"/>
    <col min="4" max="7" width="13.140625" style="1" customWidth="1"/>
    <col min="8" max="8" width="5.140625" style="1" customWidth="1"/>
    <col min="9" max="9" width="18.140625" style="1" customWidth="1"/>
    <col min="10" max="10" width="15.5703125" style="1" customWidth="1"/>
    <col min="11" max="11" width="14.7109375" style="1" customWidth="1"/>
    <col min="12" max="12" width="15.5703125" style="1" customWidth="1"/>
    <col min="13" max="13" width="13.42578125" style="1" customWidth="1"/>
    <col min="14" max="14" width="21.28515625" style="1" customWidth="1"/>
    <col min="15" max="15" width="17.7109375" style="1" customWidth="1"/>
    <col min="16" max="16" width="13.28515625" style="1" customWidth="1"/>
    <col min="17" max="17" width="0.140625" style="1" customWidth="1"/>
    <col min="18" max="18" width="11.140625" style="1" bestFit="1" customWidth="1"/>
    <col min="19" max="16384" width="9.140625" style="1"/>
  </cols>
  <sheetData>
    <row r="1" spans="1:15" ht="46.5" customHeight="1" x14ac:dyDescent="0.25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5" ht="16.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5" ht="15" customHeight="1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6"/>
      <c r="N3" s="6"/>
    </row>
    <row r="4" spans="1:15" ht="15" customHeight="1" x14ac:dyDescent="0.25">
      <c r="B4" s="4"/>
      <c r="C4" s="4"/>
      <c r="D4" s="4"/>
      <c r="E4" s="4"/>
      <c r="F4" s="4"/>
      <c r="G4" s="4"/>
      <c r="H4" s="4"/>
      <c r="I4" s="4"/>
      <c r="J4" s="7"/>
      <c r="K4" s="6"/>
      <c r="L4" s="6"/>
      <c r="M4" s="6"/>
      <c r="N4" s="6"/>
    </row>
    <row r="5" spans="1:15" ht="18.75" customHeight="1" x14ac:dyDescent="0.25">
      <c r="B5" s="4"/>
      <c r="C5" s="4"/>
      <c r="D5" s="4"/>
      <c r="E5" s="4"/>
      <c r="F5" s="4"/>
      <c r="G5" s="4"/>
      <c r="H5" s="4"/>
      <c r="I5" s="8"/>
      <c r="J5" s="9"/>
      <c r="K5" s="4"/>
      <c r="L5" s="8"/>
      <c r="M5" s="10"/>
      <c r="N5" s="10"/>
    </row>
    <row r="6" spans="1:15" ht="27" customHeight="1" x14ac:dyDescent="0.25">
      <c r="B6" s="11"/>
      <c r="C6" s="11"/>
      <c r="D6" s="13" t="s">
        <v>0</v>
      </c>
      <c r="E6" s="13"/>
      <c r="F6" s="13"/>
      <c r="G6" s="14" t="s">
        <v>1</v>
      </c>
      <c r="H6" s="15" t="s">
        <v>2</v>
      </c>
      <c r="I6" s="16">
        <v>46140</v>
      </c>
      <c r="J6" s="17"/>
      <c r="K6" s="18" t="s">
        <v>3</v>
      </c>
      <c r="L6" s="19" t="s">
        <v>4</v>
      </c>
      <c r="M6" s="21"/>
      <c r="N6" s="20"/>
    </row>
    <row r="7" spans="1:15" ht="27" customHeight="1" x14ac:dyDescent="0.25">
      <c r="B7" s="11"/>
      <c r="C7" s="11"/>
      <c r="D7" s="12"/>
      <c r="E7" s="11"/>
      <c r="F7" s="11"/>
      <c r="G7" s="22" t="s">
        <v>5</v>
      </c>
      <c r="H7" s="22"/>
      <c r="I7" s="23" t="s">
        <v>6</v>
      </c>
      <c r="J7" s="17"/>
      <c r="K7" s="24" t="s">
        <v>7</v>
      </c>
      <c r="L7" s="25" t="s">
        <v>8</v>
      </c>
      <c r="M7" s="25"/>
      <c r="N7" s="25"/>
    </row>
    <row r="8" spans="1:15" ht="27" customHeight="1" x14ac:dyDescent="0.25">
      <c r="B8" s="11"/>
      <c r="C8" s="11"/>
      <c r="D8" s="26"/>
      <c r="E8" s="26"/>
      <c r="F8" s="26"/>
      <c r="G8" s="27"/>
      <c r="H8" s="27"/>
      <c r="I8" s="27"/>
      <c r="J8" s="17"/>
      <c r="K8" s="24"/>
      <c r="L8" s="28" t="s">
        <v>9</v>
      </c>
      <c r="M8" s="28"/>
      <c r="N8" s="29">
        <v>46140</v>
      </c>
    </row>
    <row r="9" spans="1:15" ht="27" customHeight="1" x14ac:dyDescent="0.25">
      <c r="B9" s="11"/>
      <c r="C9" s="11"/>
      <c r="D9" s="11"/>
      <c r="E9" s="11"/>
      <c r="F9" s="11"/>
      <c r="G9" s="11"/>
      <c r="H9" s="11"/>
      <c r="I9" s="11"/>
      <c r="J9" s="11"/>
      <c r="K9" s="30"/>
      <c r="L9" s="31" t="s">
        <v>10</v>
      </c>
      <c r="M9" s="31"/>
      <c r="N9" s="29">
        <v>46162</v>
      </c>
    </row>
    <row r="10" spans="1:15" s="32" customFormat="1" ht="27" customHeight="1" x14ac:dyDescent="0.25">
      <c r="A10" s="33"/>
      <c r="B10" s="34" t="s">
        <v>11</v>
      </c>
      <c r="C10" s="35"/>
      <c r="D10" s="34" t="s">
        <v>12</v>
      </c>
      <c r="E10" s="35"/>
      <c r="F10" s="36">
        <v>19</v>
      </c>
      <c r="G10" s="34" t="s">
        <v>13</v>
      </c>
      <c r="H10" s="37"/>
      <c r="I10" s="35"/>
      <c r="J10" s="33"/>
      <c r="K10" s="38"/>
      <c r="L10" s="39" t="s">
        <v>14</v>
      </c>
      <c r="M10" s="39"/>
      <c r="N10" s="29"/>
    </row>
    <row r="11" spans="1:15" s="32" customFormat="1" ht="27" customHeight="1" x14ac:dyDescent="0.25">
      <c r="A11" s="33"/>
      <c r="B11" s="41" t="s">
        <v>15</v>
      </c>
      <c r="C11" s="41"/>
      <c r="D11" s="43" t="s">
        <v>16</v>
      </c>
      <c r="E11" s="43"/>
      <c r="F11" s="40" t="s">
        <v>17</v>
      </c>
      <c r="G11" s="42"/>
      <c r="H11" s="42"/>
      <c r="I11" s="42"/>
      <c r="J11" s="33"/>
      <c r="K11" s="33"/>
      <c r="L11" s="33"/>
      <c r="M11" s="44"/>
      <c r="N11" s="45"/>
    </row>
    <row r="12" spans="1:15" ht="27" customHeight="1" x14ac:dyDescent="0.25">
      <c r="B12" s="45"/>
      <c r="C12" s="46" t="s">
        <v>18</v>
      </c>
      <c r="D12" s="48"/>
      <c r="E12" s="48"/>
      <c r="F12" s="47"/>
      <c r="G12" s="49"/>
      <c r="H12" s="50"/>
      <c r="I12" s="50"/>
      <c r="J12" s="51"/>
      <c r="K12" s="24"/>
      <c r="L12" s="52" t="s">
        <v>19</v>
      </c>
      <c r="M12" s="52"/>
      <c r="N12" s="53"/>
      <c r="O12" s="54"/>
    </row>
    <row r="13" spans="1:15" ht="27" customHeight="1" x14ac:dyDescent="0.25">
      <c r="B13" s="50"/>
      <c r="C13" s="55" t="s">
        <v>20</v>
      </c>
      <c r="D13" s="55"/>
      <c r="E13" s="55"/>
      <c r="F13" s="55"/>
      <c r="G13" s="50"/>
      <c r="H13" s="50"/>
      <c r="I13" s="50"/>
      <c r="J13" s="50"/>
      <c r="K13" s="24"/>
      <c r="L13" s="52" t="s">
        <v>21</v>
      </c>
      <c r="M13" s="52"/>
      <c r="N13" s="53">
        <v>43544.23</v>
      </c>
      <c r="O13" s="54"/>
    </row>
    <row r="14" spans="1:15" ht="27" customHeight="1" thickBot="1" x14ac:dyDescent="0.3">
      <c r="B14" s="50"/>
      <c r="C14" s="50"/>
      <c r="D14" s="50"/>
      <c r="E14" s="50"/>
      <c r="F14" s="50"/>
      <c r="G14" s="50"/>
      <c r="H14" s="50"/>
      <c r="I14" s="50"/>
      <c r="J14" s="56"/>
      <c r="K14" s="57" t="s">
        <v>22</v>
      </c>
      <c r="L14" s="57"/>
      <c r="M14" s="56"/>
      <c r="N14" s="56"/>
      <c r="O14" s="54"/>
    </row>
    <row r="15" spans="1:15" s="32" customFormat="1" ht="27" customHeight="1" thickBot="1" x14ac:dyDescent="0.3">
      <c r="A15" s="58"/>
      <c r="B15" s="59"/>
      <c r="C15" s="59"/>
      <c r="D15" s="60" t="s">
        <v>23</v>
      </c>
      <c r="E15" s="62"/>
      <c r="F15" s="62"/>
      <c r="G15" s="62"/>
      <c r="H15" s="62"/>
      <c r="I15" s="61"/>
      <c r="J15" s="63" t="s">
        <v>24</v>
      </c>
      <c r="K15" s="64">
        <f>SUM(L18:L33)</f>
        <v>4.7650939999999995</v>
      </c>
      <c r="L15" s="65"/>
      <c r="M15" s="66" t="s">
        <v>25</v>
      </c>
      <c r="N15" s="67">
        <f>SUM(N18:N33)/100*93</f>
        <v>43544.229545999995</v>
      </c>
      <c r="O15" s="9"/>
    </row>
    <row r="16" spans="1:15" s="32" customFormat="1" ht="19.5" customHeight="1" thickBot="1" x14ac:dyDescent="0.3">
      <c r="A16" s="68"/>
      <c r="B16" s="69" t="s">
        <v>26</v>
      </c>
      <c r="C16" s="70"/>
      <c r="D16" s="71"/>
      <c r="E16" s="72"/>
      <c r="F16" s="66"/>
      <c r="G16" s="66"/>
      <c r="H16" s="66"/>
      <c r="I16" s="73"/>
      <c r="J16" s="72"/>
      <c r="K16" s="74" t="s">
        <v>27</v>
      </c>
      <c r="L16" s="75"/>
      <c r="M16" s="76"/>
      <c r="N16" s="77">
        <f>SUM(N18:N33)</f>
        <v>46821.752199999995</v>
      </c>
      <c r="O16" s="9"/>
    </row>
    <row r="17" spans="1:15" s="32" customFormat="1" ht="19.5" customHeight="1" thickBot="1" x14ac:dyDescent="0.3">
      <c r="A17" s="78"/>
      <c r="B17" s="79" t="s">
        <v>28</v>
      </c>
      <c r="C17" s="79" t="s">
        <v>29</v>
      </c>
      <c r="D17" s="80" t="s">
        <v>30</v>
      </c>
      <c r="E17" s="82" t="s">
        <v>31</v>
      </c>
      <c r="F17" s="84"/>
      <c r="G17" s="84"/>
      <c r="H17" s="84"/>
      <c r="I17" s="83"/>
      <c r="J17" s="81" t="s">
        <v>32</v>
      </c>
      <c r="K17" s="81" t="s">
        <v>33</v>
      </c>
      <c r="L17" s="81" t="s">
        <v>34</v>
      </c>
      <c r="M17" s="85" t="s">
        <v>33</v>
      </c>
      <c r="N17" s="85" t="s">
        <v>34</v>
      </c>
      <c r="O17" s="9"/>
    </row>
    <row r="18" spans="1:15" s="86" customFormat="1" ht="24" customHeight="1" thickBot="1" x14ac:dyDescent="0.3">
      <c r="A18" s="87"/>
      <c r="B18" s="88"/>
      <c r="C18" s="88"/>
      <c r="D18" s="88"/>
      <c r="E18" s="89" t="s">
        <v>35</v>
      </c>
      <c r="F18" s="91"/>
      <c r="G18" s="91"/>
      <c r="H18" s="91"/>
      <c r="I18" s="90"/>
      <c r="J18" s="92"/>
      <c r="K18" s="93">
        <f t="shared" ref="K18:K25" si="0">B18*C18/1000000</f>
        <v>0</v>
      </c>
      <c r="L18" s="94">
        <f t="shared" ref="L18:L25" si="1">K18*D18</f>
        <v>0</v>
      </c>
      <c r="M18" s="95">
        <f t="shared" ref="M18:M25" si="2">K18*J18</f>
        <v>0</v>
      </c>
      <c r="N18" s="96">
        <f t="shared" ref="N18:N25" si="3">M18*D18</f>
        <v>0</v>
      </c>
      <c r="O18" s="97"/>
    </row>
    <row r="19" spans="1:15" s="86" customFormat="1" ht="24" customHeight="1" thickBot="1" x14ac:dyDescent="0.3">
      <c r="A19" s="98"/>
      <c r="B19" s="99">
        <v>2026</v>
      </c>
      <c r="C19" s="99">
        <v>493</v>
      </c>
      <c r="D19" s="99">
        <v>1</v>
      </c>
      <c r="E19" s="100"/>
      <c r="F19" s="102"/>
      <c r="G19" s="102"/>
      <c r="H19" s="102"/>
      <c r="I19" s="101"/>
      <c r="J19" s="103">
        <v>11500</v>
      </c>
      <c r="K19" s="104">
        <f t="shared" si="0"/>
        <v>0.99881799999999998</v>
      </c>
      <c r="L19" s="105">
        <f t="shared" si="1"/>
        <v>0.99881799999999998</v>
      </c>
      <c r="M19" s="106">
        <f t="shared" si="2"/>
        <v>11486.406999999999</v>
      </c>
      <c r="N19" s="107">
        <f t="shared" si="3"/>
        <v>11486.406999999999</v>
      </c>
      <c r="O19" s="97"/>
    </row>
    <row r="20" spans="1:15" s="86" customFormat="1" ht="24" customHeight="1" thickBot="1" x14ac:dyDescent="0.3">
      <c r="A20" s="98"/>
      <c r="B20" s="99">
        <v>793</v>
      </c>
      <c r="C20" s="99">
        <v>446</v>
      </c>
      <c r="D20" s="99">
        <v>3</v>
      </c>
      <c r="E20" s="100"/>
      <c r="F20" s="102"/>
      <c r="G20" s="102"/>
      <c r="H20" s="102"/>
      <c r="I20" s="101"/>
      <c r="J20" s="103">
        <v>11500</v>
      </c>
      <c r="K20" s="104">
        <f t="shared" si="0"/>
        <v>0.35367799999999999</v>
      </c>
      <c r="L20" s="105">
        <f t="shared" si="1"/>
        <v>1.061034</v>
      </c>
      <c r="M20" s="106">
        <f t="shared" si="2"/>
        <v>4067.297</v>
      </c>
      <c r="N20" s="107">
        <f t="shared" si="3"/>
        <v>12201.891</v>
      </c>
      <c r="O20" s="97"/>
    </row>
    <row r="21" spans="1:15" s="86" customFormat="1" ht="24" customHeight="1" thickBot="1" x14ac:dyDescent="0.3">
      <c r="A21" s="87"/>
      <c r="B21" s="88"/>
      <c r="C21" s="88"/>
      <c r="D21" s="88"/>
      <c r="E21" s="89" t="s">
        <v>36</v>
      </c>
      <c r="F21" s="91"/>
      <c r="G21" s="91"/>
      <c r="H21" s="91"/>
      <c r="I21" s="90"/>
      <c r="J21" s="92"/>
      <c r="K21" s="93">
        <f t="shared" si="0"/>
        <v>0</v>
      </c>
      <c r="L21" s="94">
        <f t="shared" si="1"/>
        <v>0</v>
      </c>
      <c r="M21" s="95">
        <f t="shared" si="2"/>
        <v>0</v>
      </c>
      <c r="N21" s="96">
        <f t="shared" si="3"/>
        <v>0</v>
      </c>
      <c r="O21" s="97"/>
    </row>
    <row r="22" spans="1:15" s="86" customFormat="1" ht="24" customHeight="1" thickBot="1" x14ac:dyDescent="0.3">
      <c r="A22" s="98"/>
      <c r="B22" s="99">
        <v>2026</v>
      </c>
      <c r="C22" s="99">
        <v>493</v>
      </c>
      <c r="D22" s="99">
        <v>1</v>
      </c>
      <c r="E22" s="100"/>
      <c r="F22" s="102"/>
      <c r="G22" s="102"/>
      <c r="H22" s="102"/>
      <c r="I22" s="101"/>
      <c r="J22" s="103">
        <v>8300</v>
      </c>
      <c r="K22" s="104">
        <f t="shared" si="0"/>
        <v>0.99881799999999998</v>
      </c>
      <c r="L22" s="105">
        <f t="shared" si="1"/>
        <v>0.99881799999999998</v>
      </c>
      <c r="M22" s="106">
        <f t="shared" si="2"/>
        <v>8290.1893999999993</v>
      </c>
      <c r="N22" s="107">
        <f t="shared" si="3"/>
        <v>8290.1893999999993</v>
      </c>
      <c r="O22" s="97"/>
    </row>
    <row r="23" spans="1:15" s="86" customFormat="1" ht="24" customHeight="1" thickBot="1" x14ac:dyDescent="0.3">
      <c r="A23" s="98"/>
      <c r="B23" s="99">
        <v>498</v>
      </c>
      <c r="C23" s="99">
        <v>32</v>
      </c>
      <c r="D23" s="99">
        <v>2</v>
      </c>
      <c r="E23" s="100"/>
      <c r="F23" s="102"/>
      <c r="G23" s="102"/>
      <c r="H23" s="102"/>
      <c r="I23" s="101"/>
      <c r="J23" s="103">
        <v>8300</v>
      </c>
      <c r="K23" s="104">
        <f t="shared" si="0"/>
        <v>1.5935999999999999E-2</v>
      </c>
      <c r="L23" s="105">
        <f t="shared" si="1"/>
        <v>3.1871999999999998E-2</v>
      </c>
      <c r="M23" s="106">
        <f t="shared" si="2"/>
        <v>132.2688</v>
      </c>
      <c r="N23" s="107">
        <f t="shared" si="3"/>
        <v>264.5376</v>
      </c>
      <c r="O23" s="97"/>
    </row>
    <row r="24" spans="1:15" s="86" customFormat="1" ht="24" customHeight="1" thickBot="1" x14ac:dyDescent="0.3">
      <c r="A24" s="98"/>
      <c r="B24" s="99">
        <v>715</v>
      </c>
      <c r="C24" s="99">
        <v>496</v>
      </c>
      <c r="D24" s="99">
        <v>1</v>
      </c>
      <c r="E24" s="100"/>
      <c r="F24" s="102"/>
      <c r="G24" s="102"/>
      <c r="H24" s="102"/>
      <c r="I24" s="101"/>
      <c r="J24" s="103">
        <v>8300</v>
      </c>
      <c r="K24" s="104">
        <f t="shared" si="0"/>
        <v>0.35464000000000001</v>
      </c>
      <c r="L24" s="105">
        <f t="shared" si="1"/>
        <v>0.35464000000000001</v>
      </c>
      <c r="M24" s="106">
        <f t="shared" si="2"/>
        <v>2943.5120000000002</v>
      </c>
      <c r="N24" s="107">
        <f t="shared" si="3"/>
        <v>2943.5120000000002</v>
      </c>
      <c r="O24" s="97"/>
    </row>
    <row r="25" spans="1:15" s="86" customFormat="1" ht="24" customHeight="1" thickBot="1" x14ac:dyDescent="0.3">
      <c r="A25" s="98"/>
      <c r="B25" s="99">
        <v>1742</v>
      </c>
      <c r="C25" s="99">
        <v>496</v>
      </c>
      <c r="D25" s="99">
        <v>1</v>
      </c>
      <c r="E25" s="100"/>
      <c r="F25" s="102"/>
      <c r="G25" s="102"/>
      <c r="H25" s="102"/>
      <c r="I25" s="101"/>
      <c r="J25" s="103">
        <v>8300</v>
      </c>
      <c r="K25" s="104">
        <f t="shared" si="0"/>
        <v>0.86403200000000002</v>
      </c>
      <c r="L25" s="105">
        <f t="shared" si="1"/>
        <v>0.86403200000000002</v>
      </c>
      <c r="M25" s="106">
        <f t="shared" si="2"/>
        <v>7171.4656000000004</v>
      </c>
      <c r="N25" s="107">
        <f t="shared" si="3"/>
        <v>7171.4656000000004</v>
      </c>
      <c r="O25" s="97"/>
    </row>
    <row r="26" spans="1:15" s="108" customFormat="1" ht="24" customHeight="1" thickBot="1" x14ac:dyDescent="0.3">
      <c r="A26" s="109"/>
      <c r="B26" s="110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1"/>
      <c r="O26" s="113"/>
    </row>
    <row r="27" spans="1:15" s="86" customFormat="1" ht="24" customHeight="1" thickBot="1" x14ac:dyDescent="0.3">
      <c r="A27" s="87"/>
      <c r="B27" s="88"/>
      <c r="C27" s="88"/>
      <c r="D27" s="88"/>
      <c r="E27" s="89" t="s">
        <v>37</v>
      </c>
      <c r="F27" s="91"/>
      <c r="G27" s="91"/>
      <c r="H27" s="91"/>
      <c r="I27" s="90"/>
      <c r="J27" s="92"/>
      <c r="K27" s="93">
        <f t="shared" ref="K27:K32" si="4">B27*C27/1000000</f>
        <v>0</v>
      </c>
      <c r="L27" s="94">
        <f t="shared" ref="L27:L32" si="5">K27*D27</f>
        <v>0</v>
      </c>
      <c r="M27" s="95">
        <f t="shared" ref="M27:M32" si="6">K27*J27</f>
        <v>0</v>
      </c>
      <c r="N27" s="96">
        <f t="shared" ref="N27:N33" si="7">M27*D27</f>
        <v>0</v>
      </c>
      <c r="O27" s="97"/>
    </row>
    <row r="28" spans="1:15" s="86" customFormat="1" ht="24" customHeight="1" thickBot="1" x14ac:dyDescent="0.3">
      <c r="A28" s="98"/>
      <c r="B28" s="99">
        <v>431</v>
      </c>
      <c r="C28" s="99">
        <v>493</v>
      </c>
      <c r="D28" s="99">
        <v>1</v>
      </c>
      <c r="E28" s="100"/>
      <c r="F28" s="102"/>
      <c r="G28" s="102"/>
      <c r="H28" s="102"/>
      <c r="I28" s="101"/>
      <c r="J28" s="103">
        <v>11500</v>
      </c>
      <c r="K28" s="104">
        <f t="shared" si="4"/>
        <v>0.21248300000000001</v>
      </c>
      <c r="L28" s="105">
        <f t="shared" si="5"/>
        <v>0.21248300000000001</v>
      </c>
      <c r="M28" s="106">
        <f t="shared" si="6"/>
        <v>2443.5545000000002</v>
      </c>
      <c r="N28" s="107">
        <f t="shared" si="7"/>
        <v>2443.5545000000002</v>
      </c>
      <c r="O28" s="97"/>
    </row>
    <row r="29" spans="1:15" s="86" customFormat="1" ht="24" customHeight="1" thickBot="1" x14ac:dyDescent="0.3">
      <c r="A29" s="87"/>
      <c r="B29" s="88"/>
      <c r="C29" s="88"/>
      <c r="D29" s="88"/>
      <c r="E29" s="89" t="s">
        <v>38</v>
      </c>
      <c r="F29" s="91"/>
      <c r="G29" s="91"/>
      <c r="H29" s="91"/>
      <c r="I29" s="90"/>
      <c r="J29" s="92"/>
      <c r="K29" s="93">
        <f t="shared" si="4"/>
        <v>0</v>
      </c>
      <c r="L29" s="94">
        <f t="shared" si="5"/>
        <v>0</v>
      </c>
      <c r="M29" s="95">
        <f t="shared" si="6"/>
        <v>0</v>
      </c>
      <c r="N29" s="96">
        <f t="shared" si="7"/>
        <v>0</v>
      </c>
      <c r="O29" s="97"/>
    </row>
    <row r="30" spans="1:15" s="86" customFormat="1" ht="24" customHeight="1" thickBot="1" x14ac:dyDescent="0.3">
      <c r="A30" s="98"/>
      <c r="B30" s="99">
        <v>993</v>
      </c>
      <c r="C30" s="99">
        <v>32</v>
      </c>
      <c r="D30" s="99">
        <v>1</v>
      </c>
      <c r="E30" s="100"/>
      <c r="F30" s="102"/>
      <c r="G30" s="102"/>
      <c r="H30" s="102"/>
      <c r="I30" s="101"/>
      <c r="J30" s="103">
        <v>8300</v>
      </c>
      <c r="K30" s="104">
        <f t="shared" si="4"/>
        <v>3.1775999999999999E-2</v>
      </c>
      <c r="L30" s="105">
        <f t="shared" si="5"/>
        <v>3.1775999999999999E-2</v>
      </c>
      <c r="M30" s="106">
        <f t="shared" si="6"/>
        <v>263.74079999999998</v>
      </c>
      <c r="N30" s="107">
        <f t="shared" si="7"/>
        <v>263.74079999999998</v>
      </c>
      <c r="O30" s="97"/>
    </row>
    <row r="31" spans="1:15" s="86" customFormat="1" ht="24" customHeight="1" thickBot="1" x14ac:dyDescent="0.3">
      <c r="A31" s="98"/>
      <c r="B31" s="99">
        <v>431</v>
      </c>
      <c r="C31" s="99">
        <v>118</v>
      </c>
      <c r="D31" s="99">
        <v>1</v>
      </c>
      <c r="E31" s="100"/>
      <c r="F31" s="102"/>
      <c r="G31" s="102"/>
      <c r="H31" s="102"/>
      <c r="I31" s="101"/>
      <c r="J31" s="103">
        <v>8300</v>
      </c>
      <c r="K31" s="104">
        <f t="shared" si="4"/>
        <v>5.0858E-2</v>
      </c>
      <c r="L31" s="105">
        <f t="shared" si="5"/>
        <v>5.0858E-2</v>
      </c>
      <c r="M31" s="106">
        <f t="shared" si="6"/>
        <v>422.12139999999999</v>
      </c>
      <c r="N31" s="107">
        <f t="shared" si="7"/>
        <v>422.12139999999999</v>
      </c>
      <c r="O31" s="97"/>
    </row>
    <row r="32" spans="1:15" s="86" customFormat="1" ht="24" customHeight="1" thickBot="1" x14ac:dyDescent="0.3">
      <c r="A32" s="98"/>
      <c r="B32" s="99">
        <v>431</v>
      </c>
      <c r="C32" s="99">
        <v>373</v>
      </c>
      <c r="D32" s="99">
        <v>1</v>
      </c>
      <c r="E32" s="100"/>
      <c r="F32" s="102"/>
      <c r="G32" s="102"/>
      <c r="H32" s="102"/>
      <c r="I32" s="101"/>
      <c r="J32" s="103">
        <v>8300</v>
      </c>
      <c r="K32" s="104">
        <f t="shared" si="4"/>
        <v>0.16076299999999999</v>
      </c>
      <c r="L32" s="105">
        <f t="shared" si="5"/>
        <v>0.16076299999999999</v>
      </c>
      <c r="M32" s="106">
        <f t="shared" si="6"/>
        <v>1334.3328999999999</v>
      </c>
      <c r="N32" s="107">
        <f t="shared" si="7"/>
        <v>1334.3328999999999</v>
      </c>
      <c r="O32" s="97"/>
    </row>
    <row r="33" spans="1:17" ht="36.75" customHeight="1" thickBot="1" x14ac:dyDescent="0.3">
      <c r="A33" s="54"/>
      <c r="B33" s="114"/>
      <c r="C33" s="115"/>
      <c r="D33" s="116">
        <f>SUM(D18:D25)</f>
        <v>9</v>
      </c>
      <c r="E33" s="56"/>
      <c r="F33" s="56"/>
      <c r="G33" s="56"/>
      <c r="H33" s="56"/>
      <c r="I33" s="56"/>
      <c r="J33" s="56"/>
      <c r="K33" s="56"/>
      <c r="L33" s="117"/>
      <c r="M33" s="118"/>
      <c r="N33" s="119">
        <f t="shared" si="7"/>
        <v>0</v>
      </c>
    </row>
    <row r="34" spans="1:17" ht="15" customHeight="1" x14ac:dyDescent="0.25">
      <c r="A34" s="54"/>
      <c r="B34" s="45"/>
      <c r="C34" s="45"/>
      <c r="D34" s="45"/>
      <c r="E34" s="120" t="s">
        <v>39</v>
      </c>
      <c r="F34" s="120"/>
      <c r="G34" s="120"/>
      <c r="H34" s="120"/>
      <c r="I34" s="120"/>
      <c r="J34" s="120"/>
      <c r="K34" s="120"/>
      <c r="L34" s="120"/>
      <c r="M34" s="56"/>
      <c r="N34" s="56"/>
    </row>
    <row r="35" spans="1:17" ht="15.75" customHeight="1" x14ac:dyDescent="0.25">
      <c r="A35" s="54"/>
      <c r="B35" s="45"/>
      <c r="C35" s="45"/>
      <c r="D35" s="45"/>
      <c r="E35" s="120"/>
      <c r="F35" s="120"/>
      <c r="G35" s="120"/>
      <c r="H35" s="120"/>
      <c r="I35" s="120"/>
      <c r="J35" s="120"/>
      <c r="K35" s="120"/>
      <c r="L35" s="120"/>
      <c r="M35" s="121"/>
    </row>
    <row r="36" spans="1:17" ht="15.75" customHeight="1" x14ac:dyDescent="0.25">
      <c r="A36" s="54"/>
      <c r="B36" s="33"/>
      <c r="C36" s="33"/>
      <c r="D36" s="122"/>
      <c r="E36" s="120"/>
      <c r="F36" s="120"/>
      <c r="G36" s="120"/>
      <c r="H36" s="120"/>
      <c r="I36" s="120"/>
      <c r="J36" s="120"/>
      <c r="K36" s="120"/>
      <c r="L36" s="120"/>
      <c r="M36" s="121"/>
    </row>
    <row r="37" spans="1:17" ht="15" customHeight="1" x14ac:dyDescent="0.25">
      <c r="A37" s="54"/>
      <c r="B37" s="123"/>
      <c r="C37" s="123"/>
      <c r="D37" s="123"/>
      <c r="E37" s="120"/>
      <c r="F37" s="120"/>
      <c r="G37" s="120"/>
      <c r="H37" s="120"/>
      <c r="I37" s="120"/>
      <c r="J37" s="120"/>
      <c r="K37" s="120"/>
      <c r="L37" s="120"/>
      <c r="M37" s="124"/>
    </row>
    <row r="38" spans="1:17" ht="15" customHeight="1" x14ac:dyDescent="0.25">
      <c r="A38" s="54"/>
      <c r="B38" s="50"/>
      <c r="C38" s="50"/>
      <c r="D38" s="56"/>
      <c r="E38" s="120"/>
      <c r="F38" s="120"/>
      <c r="G38" s="120"/>
      <c r="H38" s="120"/>
      <c r="I38" s="120"/>
      <c r="J38" s="120"/>
      <c r="K38" s="120"/>
      <c r="L38" s="120"/>
      <c r="M38" s="124"/>
    </row>
    <row r="39" spans="1:17" ht="15" customHeight="1" x14ac:dyDescent="0.25">
      <c r="B39" s="125"/>
      <c r="C39" s="54"/>
      <c r="I39" s="126" t="s">
        <v>40</v>
      </c>
      <c r="J39" s="126"/>
      <c r="K39" s="126"/>
      <c r="L39" s="126"/>
      <c r="M39" s="126"/>
      <c r="N39" s="126"/>
    </row>
    <row r="40" spans="1:17" ht="15.75" customHeight="1" x14ac:dyDescent="0.25">
      <c r="B40" s="54"/>
      <c r="C40" s="54"/>
      <c r="I40" s="126"/>
      <c r="J40" s="126"/>
      <c r="K40" s="126"/>
      <c r="L40" s="126"/>
      <c r="M40" s="126"/>
      <c r="N40" s="126"/>
    </row>
    <row r="41" spans="1:17" ht="15" customHeight="1" x14ac:dyDescent="0.25">
      <c r="B41" s="54"/>
      <c r="C41" s="54"/>
      <c r="I41" s="126"/>
      <c r="J41" s="126"/>
      <c r="K41" s="126"/>
      <c r="L41" s="126"/>
      <c r="M41" s="126"/>
      <c r="N41" s="126"/>
    </row>
    <row r="42" spans="1:17" ht="15.75" customHeight="1" x14ac:dyDescent="0.25">
      <c r="B42" s="54"/>
      <c r="C42" s="54"/>
      <c r="I42" s="126"/>
      <c r="J42" s="126"/>
      <c r="K42" s="126"/>
      <c r="L42" s="126"/>
      <c r="M42" s="126"/>
      <c r="N42" s="126"/>
    </row>
    <row r="43" spans="1:17" ht="15" customHeight="1" x14ac:dyDescent="0.25">
      <c r="B43" s="54"/>
      <c r="C43" s="54"/>
      <c r="I43" s="126"/>
      <c r="J43" s="126"/>
      <c r="K43" s="126"/>
      <c r="L43" s="126"/>
      <c r="M43" s="126"/>
      <c r="N43" s="126"/>
    </row>
    <row r="44" spans="1:17" ht="15.75" customHeight="1" x14ac:dyDescent="0.25">
      <c r="L44" s="128"/>
      <c r="M44" s="128"/>
    </row>
    <row r="45" spans="1:17" ht="15" customHeight="1" x14ac:dyDescent="0.25">
      <c r="A45" s="129"/>
      <c r="E45" s="130"/>
      <c r="F45" s="130"/>
      <c r="G45" s="130"/>
      <c r="H45" s="130"/>
      <c r="I45" s="130"/>
      <c r="J45" s="131"/>
    </row>
    <row r="46" spans="1:17" ht="15.75" customHeight="1" thickBot="1" x14ac:dyDescent="0.3">
      <c r="A46" s="132"/>
      <c r="B46" s="132"/>
      <c r="C46" s="132" t="s">
        <v>41</v>
      </c>
      <c r="D46" s="132"/>
      <c r="E46" s="133"/>
      <c r="F46" s="134"/>
      <c r="G46" s="132"/>
      <c r="H46" s="132"/>
      <c r="I46" s="132"/>
      <c r="J46" s="135" t="s">
        <v>42</v>
      </c>
      <c r="K46" s="135"/>
      <c r="L46" s="136"/>
      <c r="M46" s="137" t="str">
        <f>L6</f>
        <v>Звонцов</v>
      </c>
      <c r="N46" s="137"/>
      <c r="O46" s="127"/>
      <c r="P46" s="127"/>
      <c r="Q46" s="127"/>
    </row>
    <row r="47" spans="1:17" ht="15.75" customHeight="1" x14ac:dyDescent="0.25">
      <c r="B47" s="138" t="s">
        <v>43</v>
      </c>
      <c r="D47" s="1" t="s">
        <v>44</v>
      </c>
      <c r="E47" s="30"/>
      <c r="F47" s="30"/>
      <c r="G47" s="127"/>
      <c r="H47" s="127"/>
      <c r="I47" s="127"/>
      <c r="J47" s="127"/>
      <c r="K47" s="1" t="s">
        <v>44</v>
      </c>
      <c r="M47" s="137"/>
      <c r="N47" s="137"/>
      <c r="O47" s="127"/>
      <c r="P47" s="127"/>
      <c r="Q47" s="127"/>
    </row>
    <row r="48" spans="1:17" s="138" customFormat="1" ht="15.75" customHeight="1" x14ac:dyDescent="0.25">
      <c r="B48" s="139" t="s">
        <v>45</v>
      </c>
      <c r="C48" s="139"/>
      <c r="D48" s="139"/>
      <c r="E48" s="139"/>
      <c r="F48" s="139"/>
      <c r="G48" s="139"/>
      <c r="L48" s="141"/>
      <c r="M48" s="141"/>
    </row>
    <row r="49" spans="2:14" s="138" customFormat="1" ht="15.75" customHeight="1" x14ac:dyDescent="0.25">
      <c r="B49" s="139"/>
      <c r="C49" s="139"/>
      <c r="D49" s="139"/>
      <c r="E49" s="139"/>
      <c r="F49" s="139"/>
      <c r="G49" s="139"/>
      <c r="L49" s="140"/>
      <c r="M49" s="140"/>
    </row>
    <row r="50" spans="2:14" ht="15.75" customHeight="1" x14ac:dyDescent="0.25">
      <c r="B50" s="139"/>
      <c r="C50" s="139"/>
      <c r="D50" s="139"/>
      <c r="E50" s="139"/>
      <c r="F50" s="139"/>
      <c r="G50" s="139"/>
      <c r="H50" s="138"/>
      <c r="J50" s="127"/>
      <c r="K50" s="127"/>
      <c r="L50" s="30"/>
      <c r="M50" s="142"/>
      <c r="N50" s="127"/>
    </row>
    <row r="51" spans="2:14" ht="17.25" customHeight="1" x14ac:dyDescent="0.25">
      <c r="B51" s="139"/>
      <c r="C51" s="139"/>
      <c r="D51" s="139"/>
      <c r="E51" s="139"/>
      <c r="F51" s="139"/>
      <c r="G51" s="139"/>
      <c r="H51" s="138"/>
      <c r="K51" s="127"/>
      <c r="L51" s="127"/>
      <c r="M51" s="127"/>
    </row>
    <row r="52" spans="2:14" ht="15.75" customHeight="1" x14ac:dyDescent="0.25">
      <c r="B52" s="139"/>
      <c r="C52" s="139"/>
      <c r="D52" s="139"/>
      <c r="E52" s="139"/>
      <c r="F52" s="139"/>
      <c r="G52" s="139"/>
      <c r="H52" s="138"/>
      <c r="K52" s="127"/>
      <c r="L52" s="127"/>
      <c r="M52" s="127"/>
    </row>
    <row r="53" spans="2:14" ht="15.75" customHeight="1" x14ac:dyDescent="0.25">
      <c r="B53" s="139"/>
      <c r="C53" s="139"/>
      <c r="D53" s="139"/>
      <c r="E53" s="139"/>
      <c r="F53" s="139"/>
      <c r="G53" s="139"/>
      <c r="H53" s="138"/>
      <c r="K53" s="127"/>
      <c r="L53" s="127"/>
      <c r="M53" s="127"/>
    </row>
    <row r="54" spans="2:14" ht="15.75" customHeight="1" x14ac:dyDescent="0.25">
      <c r="B54" s="139"/>
      <c r="C54" s="139"/>
      <c r="D54" s="139"/>
      <c r="E54" s="139"/>
      <c r="F54" s="139"/>
      <c r="G54" s="139"/>
      <c r="H54" s="138"/>
    </row>
    <row r="55" spans="2:14" ht="23.25" customHeight="1" x14ac:dyDescent="0.25">
      <c r="B55" s="139"/>
      <c r="C55" s="139"/>
      <c r="D55" s="139"/>
      <c r="E55" s="139"/>
      <c r="F55" s="139"/>
      <c r="G55" s="139"/>
      <c r="H55" s="138"/>
      <c r="I55" s="143"/>
      <c r="J55" s="11"/>
    </row>
    <row r="56" spans="2:14" ht="18.75" customHeight="1" x14ac:dyDescent="0.25">
      <c r="B56" s="139"/>
      <c r="C56" s="139"/>
      <c r="D56" s="139"/>
      <c r="E56" s="139"/>
      <c r="F56" s="139"/>
      <c r="G56" s="139"/>
      <c r="H56" s="138"/>
      <c r="I56" s="144"/>
      <c r="J56" s="145"/>
      <c r="K56" s="145"/>
      <c r="L56" s="145"/>
      <c r="M56" s="145"/>
      <c r="N56" s="145"/>
    </row>
    <row r="57" spans="2:14" ht="18.75" customHeight="1" x14ac:dyDescent="0.25">
      <c r="B57" s="138"/>
      <c r="C57" s="138"/>
      <c r="D57" s="138"/>
      <c r="E57" s="138"/>
      <c r="F57" s="138"/>
      <c r="G57" s="138"/>
      <c r="H57" s="138"/>
      <c r="I57" s="144"/>
      <c r="J57" s="145"/>
      <c r="K57" s="145"/>
      <c r="L57" s="145"/>
      <c r="M57" s="145"/>
      <c r="N57" s="145"/>
    </row>
    <row r="58" spans="2:14" ht="18.75" customHeight="1" x14ac:dyDescent="0.25">
      <c r="B58" s="138"/>
      <c r="C58" s="138"/>
      <c r="D58" s="138"/>
      <c r="E58" s="138"/>
      <c r="F58" s="138"/>
      <c r="G58" s="138"/>
      <c r="H58" s="138"/>
      <c r="J58" s="145"/>
      <c r="K58" s="145"/>
      <c r="L58" s="145"/>
      <c r="M58" s="145"/>
      <c r="N58" s="145"/>
    </row>
    <row r="59" spans="2:14" ht="18.75" customHeight="1" x14ac:dyDescent="0.25"/>
    <row r="61" spans="2:14" ht="28.5" customHeight="1" x14ac:dyDescent="0.25">
      <c r="B61" s="146"/>
    </row>
    <row r="67" spans="3:17" ht="15.75" customHeight="1" thickBot="1" x14ac:dyDescent="0.3">
      <c r="C67" s="147"/>
    </row>
    <row r="69" spans="3:17" ht="15" customHeight="1" x14ac:dyDescent="0.25">
      <c r="Q69" s="148"/>
    </row>
    <row r="70" spans="3:17" ht="15" customHeight="1" x14ac:dyDescent="0.25">
      <c r="Q70" s="148"/>
    </row>
    <row r="71" spans="3:17" ht="15" customHeight="1" x14ac:dyDescent="0.25">
      <c r="Q71" s="148"/>
    </row>
    <row r="72" spans="3:17" ht="15" customHeight="1" x14ac:dyDescent="0.25">
      <c r="Q72" s="148"/>
    </row>
    <row r="73" spans="3:17" ht="15" customHeight="1" x14ac:dyDescent="0.25">
      <c r="Q73" s="148"/>
    </row>
  </sheetData>
  <mergeCells count="48">
    <mergeCell ref="E34:L38"/>
    <mergeCell ref="I39:N43"/>
    <mergeCell ref="L44:M44"/>
    <mergeCell ref="J46:K46"/>
    <mergeCell ref="M46:N47"/>
    <mergeCell ref="B48:G56"/>
    <mergeCell ref="L48:M48"/>
    <mergeCell ref="J56:N58"/>
    <mergeCell ref="E27:I27"/>
    <mergeCell ref="E28:I28"/>
    <mergeCell ref="E29:I29"/>
    <mergeCell ref="E30:I30"/>
    <mergeCell ref="E31:I31"/>
    <mergeCell ref="E32:I32"/>
    <mergeCell ref="E21:I21"/>
    <mergeCell ref="E22:I22"/>
    <mergeCell ref="E23:I23"/>
    <mergeCell ref="E24:I24"/>
    <mergeCell ref="E25:I25"/>
    <mergeCell ref="B26:N26"/>
    <mergeCell ref="B16:C16"/>
    <mergeCell ref="K16:L16"/>
    <mergeCell ref="E17:I17"/>
    <mergeCell ref="E18:I18"/>
    <mergeCell ref="E19:I19"/>
    <mergeCell ref="E20:I20"/>
    <mergeCell ref="C12:F12"/>
    <mergeCell ref="L12:M12"/>
    <mergeCell ref="C13:F13"/>
    <mergeCell ref="L13:M13"/>
    <mergeCell ref="K14:L14"/>
    <mergeCell ref="D15:I15"/>
    <mergeCell ref="K15:L15"/>
    <mergeCell ref="L9:M9"/>
    <mergeCell ref="B10:C10"/>
    <mergeCell ref="D10:E10"/>
    <mergeCell ref="G10:I10"/>
    <mergeCell ref="L10:M10"/>
    <mergeCell ref="B11:C11"/>
    <mergeCell ref="D11:E11"/>
    <mergeCell ref="G11:I11"/>
    <mergeCell ref="M5:N5"/>
    <mergeCell ref="D6:F6"/>
    <mergeCell ref="L6:N6"/>
    <mergeCell ref="L7:N7"/>
    <mergeCell ref="D8:F8"/>
    <mergeCell ref="G8:I8"/>
    <mergeCell ref="L8:M8"/>
  </mergeCells>
  <conditionalFormatting sqref="K15:L15">
    <cfRule type="cellIs" dxfId="1" priority="0" operator="lessThan">
      <formula>1</formula>
    </cfRule>
    <cfRule type="cellIs" dxfId="0" priority="0" operator="greaterThan">
      <formula>1</formula>
    </cfRule>
  </conditionalFormatting>
  <dataValidations count="3">
    <dataValidation type="list" allowBlank="1" showInputMessage="1" showErrorMessage="1" sqref="D10:E10">
      <formula1>тип</formula1>
    </dataValidation>
    <dataValidation type="list" allowBlank="1" showInputMessage="1" showErrorMessage="1" sqref="F10">
      <formula1>МДФ</formula1>
    </dataValidation>
    <dataValidation type="list" allowBlank="1" showInputMessage="1" showErrorMessage="1" sqref="K6">
      <formula1>ооо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workbookViewId="0">
      <selection activeCell="I28" sqref="I27:I28"/>
    </sheetView>
  </sheetViews>
  <sheetFormatPr defaultRowHeight="15" customHeight="1" x14ac:dyDescent="0.25"/>
  <cols>
    <col min="1" max="1" width="11.42578125" customWidth="1"/>
    <col min="3" max="3" width="16.5703125" customWidth="1"/>
    <col min="8" max="8" width="18.7109375" customWidth="1"/>
    <col min="10" max="10" width="25.85546875" customWidth="1"/>
  </cols>
  <sheetData>
    <row r="1" spans="1:22" ht="21" customHeight="1" x14ac:dyDescent="0.35">
      <c r="A1" s="149" t="s">
        <v>15</v>
      </c>
      <c r="B1" s="150"/>
      <c r="C1" s="151" t="s">
        <v>46</v>
      </c>
      <c r="D1" s="150"/>
      <c r="E1" s="150"/>
      <c r="F1" s="152" t="s">
        <v>47</v>
      </c>
      <c r="G1" s="153"/>
      <c r="H1" s="152" t="s">
        <v>48</v>
      </c>
      <c r="I1" s="150"/>
      <c r="J1" s="154" t="s">
        <v>49</v>
      </c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2" ht="15" customHeight="1" x14ac:dyDescent="0.25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</row>
    <row r="3" spans="1:22" ht="21" customHeight="1" x14ac:dyDescent="0.35">
      <c r="A3" s="155" t="s">
        <v>11</v>
      </c>
      <c r="C3" t="s">
        <v>12</v>
      </c>
      <c r="F3" t="s">
        <v>50</v>
      </c>
      <c r="H3" t="s">
        <v>51</v>
      </c>
      <c r="I3" s="156"/>
      <c r="J3" s="156" t="s">
        <v>52</v>
      </c>
    </row>
    <row r="4" spans="1:22" ht="18.75" customHeight="1" x14ac:dyDescent="0.3">
      <c r="A4" s="157" t="s">
        <v>53</v>
      </c>
      <c r="C4" t="s">
        <v>54</v>
      </c>
      <c r="F4">
        <v>16</v>
      </c>
      <c r="H4" t="s">
        <v>55</v>
      </c>
      <c r="I4" s="156"/>
      <c r="J4" s="158" t="s">
        <v>3</v>
      </c>
    </row>
    <row r="5" spans="1:22" ht="18.75" customHeight="1" x14ac:dyDescent="0.3">
      <c r="A5" s="157" t="s">
        <v>56</v>
      </c>
      <c r="C5" t="s">
        <v>57</v>
      </c>
      <c r="F5">
        <v>19</v>
      </c>
      <c r="H5" t="s">
        <v>58</v>
      </c>
      <c r="I5" s="156"/>
      <c r="J5" s="158" t="s">
        <v>59</v>
      </c>
    </row>
    <row r="6" spans="1:22" ht="15" customHeight="1" x14ac:dyDescent="0.25">
      <c r="C6" t="s">
        <v>60</v>
      </c>
      <c r="F6">
        <v>22</v>
      </c>
      <c r="H6" t="s">
        <v>61</v>
      </c>
      <c r="I6" s="156"/>
      <c r="J6" s="158" t="s">
        <v>62</v>
      </c>
    </row>
    <row r="7" spans="1:22" ht="15" customHeight="1" x14ac:dyDescent="0.25">
      <c r="C7" t="s">
        <v>63</v>
      </c>
      <c r="F7">
        <v>25</v>
      </c>
      <c r="H7" t="s">
        <v>64</v>
      </c>
      <c r="I7" s="156"/>
      <c r="J7" s="158"/>
    </row>
    <row r="8" spans="1:22" ht="15" customHeight="1" x14ac:dyDescent="0.25">
      <c r="C8" t="s">
        <v>65</v>
      </c>
      <c r="F8">
        <v>32</v>
      </c>
      <c r="H8" t="s">
        <v>66</v>
      </c>
      <c r="I8" s="156"/>
      <c r="J8" s="158"/>
    </row>
    <row r="9" spans="1:22" ht="15" customHeight="1" x14ac:dyDescent="0.25">
      <c r="C9" t="s">
        <v>67</v>
      </c>
      <c r="F9">
        <v>38</v>
      </c>
      <c r="H9" t="s">
        <v>68</v>
      </c>
      <c r="I9" s="156"/>
      <c r="J9" s="158"/>
    </row>
    <row r="10" spans="1:22" ht="15" customHeight="1" x14ac:dyDescent="0.25">
      <c r="C10" t="s">
        <v>69</v>
      </c>
      <c r="H10" t="s">
        <v>70</v>
      </c>
      <c r="I10" s="156"/>
      <c r="J10" s="158"/>
    </row>
    <row r="11" spans="1:22" ht="15" customHeight="1" x14ac:dyDescent="0.25">
      <c r="H11" t="s">
        <v>71</v>
      </c>
      <c r="I11" s="156"/>
      <c r="J11" s="158"/>
    </row>
    <row r="12" spans="1:22" ht="15" customHeight="1" x14ac:dyDescent="0.25">
      <c r="H12" t="s">
        <v>72</v>
      </c>
      <c r="I12" s="156"/>
      <c r="J12" s="158"/>
    </row>
    <row r="13" spans="1:22" ht="15" customHeight="1" x14ac:dyDescent="0.25">
      <c r="H13" t="s">
        <v>73</v>
      </c>
      <c r="I13" s="156"/>
      <c r="J13" s="158"/>
    </row>
    <row r="14" spans="1:22" ht="15" customHeight="1" x14ac:dyDescent="0.25">
      <c r="H14" t="s">
        <v>74</v>
      </c>
      <c r="I14" s="156"/>
      <c r="J14" s="158"/>
    </row>
    <row r="15" spans="1:22" ht="15" customHeight="1" x14ac:dyDescent="0.25">
      <c r="H15" t="s">
        <v>75</v>
      </c>
      <c r="I15" s="156"/>
      <c r="J15" s="158"/>
    </row>
    <row r="16" spans="1:22" ht="15" customHeight="1" x14ac:dyDescent="0.25">
      <c r="H16" t="s">
        <v>76</v>
      </c>
      <c r="I16" s="156"/>
      <c r="J16" s="158"/>
    </row>
    <row r="17" spans="8:10" ht="15" customHeight="1" x14ac:dyDescent="0.25">
      <c r="H17" t="s">
        <v>77</v>
      </c>
      <c r="I17" s="156"/>
      <c r="J17" s="158"/>
    </row>
    <row r="18" spans="8:10" ht="15" customHeight="1" x14ac:dyDescent="0.25">
      <c r="H18" t="s">
        <v>78</v>
      </c>
      <c r="I18" s="156"/>
      <c r="J18" s="158"/>
    </row>
    <row r="19" spans="8:10" ht="15" customHeight="1" x14ac:dyDescent="0.25">
      <c r="H19" t="s">
        <v>79</v>
      </c>
      <c r="I19" s="156"/>
      <c r="J19" s="158"/>
    </row>
    <row r="20" spans="8:10" ht="15" customHeight="1" x14ac:dyDescent="0.25">
      <c r="H20" t="s">
        <v>80</v>
      </c>
      <c r="I20" s="156"/>
      <c r="J20" s="158"/>
    </row>
    <row r="21" spans="8:10" ht="15" customHeight="1" x14ac:dyDescent="0.25">
      <c r="H21" t="s">
        <v>81</v>
      </c>
      <c r="I21" s="156"/>
      <c r="J21" s="156"/>
    </row>
    <row r="22" spans="8:10" ht="15" customHeight="1" x14ac:dyDescent="0.25">
      <c r="H22" t="s">
        <v>82</v>
      </c>
      <c r="I22" s="156"/>
      <c r="J22" s="156"/>
    </row>
    <row r="23" spans="8:10" ht="15" customHeight="1" x14ac:dyDescent="0.25">
      <c r="H23" t="s">
        <v>83</v>
      </c>
      <c r="I23" s="156"/>
      <c r="J23" s="156"/>
    </row>
    <row r="24" spans="8:10" ht="15" customHeight="1" x14ac:dyDescent="0.25">
      <c r="H24" t="s">
        <v>84</v>
      </c>
      <c r="I24" s="156"/>
      <c r="J24" s="156"/>
    </row>
    <row r="25" spans="8:10" ht="15" customHeight="1" x14ac:dyDescent="0.25">
      <c r="H25" t="s">
        <v>85</v>
      </c>
      <c r="I25" s="156"/>
      <c r="J25" s="156"/>
    </row>
    <row r="26" spans="8:10" ht="15" customHeight="1" x14ac:dyDescent="0.25">
      <c r="H26" t="s">
        <v>86</v>
      </c>
      <c r="I26" s="156"/>
      <c r="J26" s="156"/>
    </row>
    <row r="27" spans="8:10" ht="15" customHeight="1" x14ac:dyDescent="0.25">
      <c r="I27" s="156"/>
      <c r="J27" s="156"/>
    </row>
    <row r="28" spans="8:10" ht="15" customHeight="1" x14ac:dyDescent="0.25">
      <c r="I28" s="156"/>
      <c r="J28" s="156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СПЕЦИФИКАЦИЯ</vt:lpstr>
      <vt:lpstr>Лист1</vt:lpstr>
      <vt:lpstr>СПЕЦИФИКАЦИЯ!Область_печати</vt:lpstr>
      <vt:lpstr>ооо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dimon</dc:creator>
  <cp:lastModifiedBy>PANZER</cp:lastModifiedBy>
  <cp:lastPrinted>2026-07-30T18:05:09Z</cp:lastPrinted>
  <dcterms:created xsi:type="dcterms:W3CDTF">2010-07-24T20:01:14Z</dcterms:created>
  <dcterms:modified xsi:type="dcterms:W3CDTF">2026-07-30T18:05:51Z</dcterms:modified>
</cp:coreProperties>
</file>