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Fasad-Lux\Downloads\ЗАКАЗЫ\ЗАКАЗЫ 2026\Везувий\"/>
    </mc:Choice>
  </mc:AlternateContent>
  <bookViews>
    <workbookView xWindow="0" yWindow="0" windowWidth="25200" windowHeight="11850"/>
  </bookViews>
  <sheets>
    <sheet name="СПЕЦИФИКАЦИЯ" sheetId="1" r:id="rId1"/>
    <sheet name="Лист1" sheetId="2" state="hidden" r:id="rId2"/>
  </sheets>
  <definedNames>
    <definedName name="Заказчик">#REF!</definedName>
    <definedName name="категория">Таблица1[[#All],[покраска]]</definedName>
    <definedName name="край">Таблица4[[#All],[R 3]]</definedName>
    <definedName name="МДФ">Таблица3[[#All],[10]]</definedName>
    <definedName name="_xlnm.Print_Area" localSheetId="0">СПЕЦИФИКАЦИЯ!$A$1:$N$46</definedName>
    <definedName name="ооо">Лист1!$J$3:$J$6</definedName>
    <definedName name="тип">Таблица2[[#All],[мат/лам]]</definedName>
  </definedNames>
  <calcPr calcId="162913"/>
</workbook>
</file>

<file path=xl/calcChain.xml><?xml version="1.0" encoding="utf-8"?>
<calcChain xmlns="http://schemas.openxmlformats.org/spreadsheetml/2006/main">
  <c r="K19" i="1" l="1"/>
  <c r="M19" i="1" s="1"/>
  <c r="N19" i="1" s="1"/>
  <c r="K18" i="1"/>
  <c r="M18" i="1" s="1"/>
  <c r="N18" i="1" s="1"/>
  <c r="N15" i="1" l="1"/>
  <c r="L18" i="1"/>
  <c r="L19" i="1"/>
  <c r="D20" i="1" l="1"/>
  <c r="K15" i="1" l="1"/>
  <c r="N20" i="1" l="1"/>
  <c r="N16" i="1" l="1"/>
  <c r="M33" i="1"/>
</calcChain>
</file>

<file path=xl/sharedStrings.xml><?xml version="1.0" encoding="utf-8"?>
<sst xmlns="http://schemas.openxmlformats.org/spreadsheetml/2006/main" count="90" uniqueCount="83">
  <si>
    <t>1 ед</t>
  </si>
  <si>
    <t>общая</t>
  </si>
  <si>
    <t>ширина</t>
  </si>
  <si>
    <t>высота</t>
  </si>
  <si>
    <t xml:space="preserve">                                                  </t>
  </si>
  <si>
    <t>примечание</t>
  </si>
  <si>
    <t>цена за м2</t>
  </si>
  <si>
    <t>кол. Шт.</t>
  </si>
  <si>
    <t>предоплата</t>
  </si>
  <si>
    <t>остаток</t>
  </si>
  <si>
    <t>номер</t>
  </si>
  <si>
    <t>дата оформления</t>
  </si>
  <si>
    <t>категория</t>
  </si>
  <si>
    <t>толщина</t>
  </si>
  <si>
    <t>м2</t>
  </si>
  <si>
    <t xml:space="preserve">     ИТОГО  </t>
  </si>
  <si>
    <t>М2</t>
  </si>
  <si>
    <t>от</t>
  </si>
  <si>
    <t>Спецификация №</t>
  </si>
  <si>
    <t>цвет</t>
  </si>
  <si>
    <t xml:space="preserve">В ПРОИЗВОДСТВЕ </t>
  </si>
  <si>
    <t>ДАТА ГОТОВНОСТИ</t>
  </si>
  <si>
    <t>ДАТА ОТГРУЗКИ</t>
  </si>
  <si>
    <t>Исполнитель</t>
  </si>
  <si>
    <t>м.п.</t>
  </si>
  <si>
    <t>Заказчик</t>
  </si>
  <si>
    <t>размер</t>
  </si>
  <si>
    <t>заказчик</t>
  </si>
  <si>
    <t xml:space="preserve">тип </t>
  </si>
  <si>
    <t>юр/ч.л</t>
  </si>
  <si>
    <t>покраска</t>
  </si>
  <si>
    <t>ПВХ</t>
  </si>
  <si>
    <t>шпон</t>
  </si>
  <si>
    <t>мат/лам</t>
  </si>
  <si>
    <t>мат/мат</t>
  </si>
  <si>
    <t>глянец/лам</t>
  </si>
  <si>
    <t>глянец/мат</t>
  </si>
  <si>
    <t>глянец/глянец</t>
  </si>
  <si>
    <t>R 3</t>
  </si>
  <si>
    <t>без R</t>
  </si>
  <si>
    <t xml:space="preserve">Антик </t>
  </si>
  <si>
    <t>Антик ФЛ</t>
  </si>
  <si>
    <t>Оксфорд</t>
  </si>
  <si>
    <t>Неаполь</t>
  </si>
  <si>
    <t>10</t>
  </si>
  <si>
    <t>Дрезден</t>
  </si>
  <si>
    <t>тип</t>
  </si>
  <si>
    <t>Фрезеровка</t>
  </si>
  <si>
    <t>Толщина</t>
  </si>
  <si>
    <t>Ампир</t>
  </si>
  <si>
    <t>Версаль</t>
  </si>
  <si>
    <t>Эрмитаж</t>
  </si>
  <si>
    <t>Палермо</t>
  </si>
  <si>
    <t>Корсико</t>
  </si>
  <si>
    <t>Соренто</t>
  </si>
  <si>
    <t>Неаполь ФЛ</t>
  </si>
  <si>
    <t>Виктория</t>
  </si>
  <si>
    <t>Альфа</t>
  </si>
  <si>
    <t>ооо</t>
  </si>
  <si>
    <t>ООО</t>
  </si>
  <si>
    <t>ИП</t>
  </si>
  <si>
    <t>ч/л</t>
  </si>
  <si>
    <t>ЗАО</t>
  </si>
  <si>
    <t>детали заказчика</t>
  </si>
  <si>
    <t>Бастион</t>
  </si>
  <si>
    <t>глянец</t>
  </si>
  <si>
    <t>матовая</t>
  </si>
  <si>
    <t>S общ.</t>
  </si>
  <si>
    <t xml:space="preserve">ПРОВЕРЯЙТЕ ПРАВИЛЬНОСТЬ ВНЕСЕННЫХ ДАННЫХ В СПЕЦИФИКАЦИИ                                                                              ПРЕТЕНЗИИ ПОСЛЕ ОПЛАТЫ ИЛИ ПОДТВЕРЖДЕНИЯ НЕ ПРИНИМАЮТСЯ </t>
  </si>
  <si>
    <t>мат+лак/лам</t>
  </si>
  <si>
    <t>Каприччио</t>
  </si>
  <si>
    <t>R минимальный</t>
  </si>
  <si>
    <t>Барселона</t>
  </si>
  <si>
    <t>Лондон</t>
  </si>
  <si>
    <t>Эксперт</t>
  </si>
  <si>
    <t>Сенат</t>
  </si>
  <si>
    <r>
      <t xml:space="preserve">Общество с ограниченной ответственностью "ФАСАД ЛЮКС" 
ИНН: 7811641022
КПП: 781101001
ОГРН: 1177847089342
 Расчетный счет: 40702810636060000012
Банк: ФИЛИАЛ "ЦЕНТРАЛЬНЫЙ" БАНКА ВТБ (ПАО)
БИК: 044525411
Корр. счет: 30101810145250000411
Юридический адрес: 192148, Санкт-Петербург г, Крупской ул, дом 43, литер А, помещение 3С
Тел. :  </t>
    </r>
    <r>
      <rPr>
        <b/>
        <sz val="12"/>
        <color indexed="8"/>
        <rFont val="Times New Roman"/>
        <family val="1"/>
        <charset val="204"/>
      </rPr>
      <t>+7 (812) 336 43 03</t>
    </r>
    <r>
      <rPr>
        <sz val="10"/>
        <color indexed="8"/>
        <rFont val="Times New Roman"/>
        <family val="1"/>
        <charset val="204"/>
      </rPr>
      <t xml:space="preserve">
</t>
    </r>
  </si>
  <si>
    <t>+ РЕМ.КОМПЛЕКТ</t>
  </si>
  <si>
    <t>124/05</t>
  </si>
  <si>
    <t>Везувий</t>
  </si>
  <si>
    <t>по чертежу</t>
  </si>
  <si>
    <t>единый рисунок на 2 фасада по чертежу</t>
  </si>
  <si>
    <t>8мм пропил "шарик"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</si>
</sst>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_-* #,##0.00[$р.-419]_-;\-* #,##0.00[$р.-419]_-;_-* &quot;-&quot;??[$р.-419]_-;_-@_-"/>
    <numFmt numFmtId="167" formatCode="000000"/>
    <numFmt numFmtId="168" formatCode="0.000"/>
    <numFmt numFmtId="169" formatCode="0.00;[Red]0.00"/>
    <numFmt numFmtId="170" formatCode="dd/mm/yy;@"/>
    <numFmt numFmtId="171" formatCode="#,##0.00\ _₽;[Red]#,##0.00\ _₽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60"/>
      <name val="Calibri"/>
      <family val="2"/>
      <charset val="204"/>
    </font>
    <font>
      <sz val="12"/>
      <color indexed="8"/>
      <name val="Calibri"/>
      <family val="2"/>
      <charset val="204"/>
    </font>
    <font>
      <sz val="36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1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sz val="14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indexed="60"/>
      <name val="Calibri"/>
      <family val="2"/>
      <charset val="204"/>
    </font>
    <font>
      <b/>
      <sz val="12"/>
      <color indexed="1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b/>
      <sz val="16"/>
      <color indexed="8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b/>
      <sz val="22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8"/>
      <color indexed="8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2"/>
      <color indexed="8"/>
      <name val="Times New Roman"/>
      <family val="1"/>
      <charset val="204"/>
    </font>
    <font>
      <b/>
      <sz val="26"/>
      <color indexed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1" fillId="0" borderId="0" applyFont="0" applyFill="0" applyBorder="0" applyAlignment="0" applyProtection="0"/>
  </cellStyleXfs>
  <cellXfs count="159">
    <xf numFmtId="0" fontId="0" fillId="0" borderId="0" xfId="0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6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1" applyFont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170" fontId="16" fillId="4" borderId="1" xfId="0" applyNumberFormat="1" applyFont="1" applyFill="1" applyBorder="1" applyAlignment="1">
      <alignment horizontal="center" vertical="center"/>
    </xf>
    <xf numFmtId="171" fontId="16" fillId="4" borderId="1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7" xfId="0" applyFont="1" applyFill="1" applyBorder="1" applyAlignment="1">
      <alignment horizontal="right" vertical="center"/>
    </xf>
    <xf numFmtId="0" fontId="16" fillId="4" borderId="1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0" fillId="4" borderId="0" xfId="0" applyFill="1"/>
    <xf numFmtId="0" fontId="28" fillId="4" borderId="0" xfId="0" applyFont="1" applyFill="1"/>
    <xf numFmtId="0" fontId="12" fillId="4" borderId="0" xfId="0" applyFont="1" applyFill="1"/>
    <xf numFmtId="0" fontId="22" fillId="4" borderId="0" xfId="0" applyFont="1" applyFill="1"/>
    <xf numFmtId="0" fontId="21" fillId="4" borderId="0" xfId="0" applyFont="1" applyFill="1" applyAlignment="1">
      <alignment horizontal="center"/>
    </xf>
    <xf numFmtId="0" fontId="29" fillId="4" borderId="0" xfId="0" applyFont="1" applyFill="1"/>
    <xf numFmtId="0" fontId="0" fillId="0" borderId="0" xfId="0" applyBorder="1"/>
    <xf numFmtId="0" fontId="0" fillId="0" borderId="0" xfId="0" applyBorder="1" applyAlignment="1">
      <alignment shrinkToFit="1"/>
    </xf>
    <xf numFmtId="0" fontId="12" fillId="0" borderId="0" xfId="0" applyFont="1" applyBorder="1" applyAlignment="1">
      <alignment vertical="center"/>
    </xf>
    <xf numFmtId="0" fontId="22" fillId="0" borderId="0" xfId="0" applyFont="1"/>
    <xf numFmtId="0" fontId="12" fillId="0" borderId="0" xfId="0" applyFont="1"/>
    <xf numFmtId="0" fontId="10" fillId="0" borderId="12" xfId="0" applyFont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shrinkToFit="1"/>
    </xf>
    <xf numFmtId="166" fontId="15" fillId="0" borderId="0" xfId="1" applyNumberFormat="1" applyFont="1" applyBorder="1" applyAlignment="1">
      <alignment horizontal="center" vertical="center"/>
    </xf>
    <xf numFmtId="165" fontId="15" fillId="0" borderId="25" xfId="2" applyFont="1" applyBorder="1" applyAlignment="1">
      <alignment horizontal="center" vertical="center"/>
    </xf>
    <xf numFmtId="165" fontId="16" fillId="4" borderId="24" xfId="0" applyNumberFormat="1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horizontal="center" vertical="center"/>
    </xf>
    <xf numFmtId="0" fontId="12" fillId="0" borderId="9" xfId="0" applyFont="1" applyFill="1" applyBorder="1" applyAlignment="1">
      <alignment vertical="center"/>
    </xf>
    <xf numFmtId="164" fontId="0" fillId="4" borderId="0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8" fontId="15" fillId="0" borderId="22" xfId="0" applyNumberFormat="1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/>
    </xf>
    <xf numFmtId="166" fontId="15" fillId="0" borderId="23" xfId="1" applyNumberFormat="1" applyFont="1" applyFill="1" applyBorder="1" applyAlignment="1">
      <alignment horizontal="center" vertical="center"/>
    </xf>
    <xf numFmtId="165" fontId="15" fillId="0" borderId="25" xfId="2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65" fontId="12" fillId="0" borderId="4" xfId="0" applyNumberFormat="1" applyFont="1" applyFill="1" applyBorder="1" applyAlignment="1">
      <alignment vertical="center"/>
    </xf>
    <xf numFmtId="0" fontId="36" fillId="4" borderId="1" xfId="0" applyNumberFormat="1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169" fontId="16" fillId="4" borderId="9" xfId="0" applyNumberFormat="1" applyFont="1" applyFill="1" applyBorder="1" applyAlignment="1">
      <alignment horizontal="center" vertical="center"/>
    </xf>
    <xf numFmtId="169" fontId="16" fillId="4" borderId="10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 wrapText="1" shrinkToFit="1"/>
    </xf>
    <xf numFmtId="0" fontId="21" fillId="0" borderId="0" xfId="0" applyFont="1" applyAlignment="1">
      <alignment horizontal="center" vertical="center" wrapText="1" shrinkToFit="1"/>
    </xf>
    <xf numFmtId="0" fontId="32" fillId="0" borderId="0" xfId="0" applyFont="1" applyAlignment="1">
      <alignment horizontal="center" vertical="center" wrapText="1" shrinkToFit="1"/>
    </xf>
    <xf numFmtId="0" fontId="7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30" fillId="0" borderId="0" xfId="0" applyNumberFormat="1" applyFont="1" applyFill="1" applyBorder="1" applyAlignment="1">
      <alignment horizontal="center" vertical="center" shrinkToFit="1"/>
    </xf>
    <xf numFmtId="0" fontId="12" fillId="6" borderId="9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4" fontId="26" fillId="4" borderId="2" xfId="0" applyNumberFormat="1" applyFont="1" applyFill="1" applyBorder="1" applyAlignment="1">
      <alignment horizontal="center" vertical="center"/>
    </xf>
    <xf numFmtId="14" fontId="26" fillId="4" borderId="6" xfId="0" applyNumberFormat="1" applyFont="1" applyFill="1" applyBorder="1" applyAlignment="1">
      <alignment horizontal="center" vertical="center"/>
    </xf>
    <xf numFmtId="14" fontId="26" fillId="4" borderId="3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4" fontId="15" fillId="0" borderId="8" xfId="0" applyNumberFormat="1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4" fontId="22" fillId="0" borderId="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14" fontId="22" fillId="0" borderId="0" xfId="0" applyNumberFormat="1" applyFont="1" applyFill="1" applyBorder="1" applyAlignment="1">
      <alignment horizontal="center" vertical="center"/>
    </xf>
    <xf numFmtId="14" fontId="22" fillId="0" borderId="11" xfId="0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 shrinkToFit="1"/>
    </xf>
    <xf numFmtId="0" fontId="26" fillId="4" borderId="6" xfId="0" applyFont="1" applyFill="1" applyBorder="1" applyAlignment="1">
      <alignment horizontal="center" vertical="center" shrinkToFit="1"/>
    </xf>
    <xf numFmtId="0" fontId="26" fillId="4" borderId="3" xfId="0" applyFont="1" applyFill="1" applyBorder="1" applyAlignment="1">
      <alignment horizontal="center" vertical="center" shrinkToFit="1"/>
    </xf>
    <xf numFmtId="0" fontId="17" fillId="4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3">
    <cellStyle name="Денежный" xfId="1" builtinId="4"/>
    <cellStyle name="Обычный" xfId="0" builtinId="0"/>
    <cellStyle name="Финансовый" xfId="2" builtinId="3"/>
  </cellStyles>
  <dxfs count="5"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D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104776</xdr:rowOff>
    </xdr:from>
    <xdr:to>
      <xdr:col>8</xdr:col>
      <xdr:colOff>76200</xdr:colOff>
      <xdr:row>4</xdr:row>
      <xdr:rowOff>171450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4776"/>
          <a:ext cx="5324475" cy="12477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</xdr:row>
          <xdr:rowOff>19050</xdr:rowOff>
        </xdr:from>
        <xdr:to>
          <xdr:col>8</xdr:col>
          <xdr:colOff>1200150</xdr:colOff>
          <xdr:row>10</xdr:row>
          <xdr:rowOff>0</xdr:rowOff>
        </xdr:to>
        <xdr:sp macro="" textlink="">
          <xdr:nvSpPr>
            <xdr:cNvPr id="1027" name="ComboBox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9525</xdr:rowOff>
        </xdr:from>
        <xdr:to>
          <xdr:col>2</xdr:col>
          <xdr:colOff>685800</xdr:colOff>
          <xdr:row>9</xdr:row>
          <xdr:rowOff>333375</xdr:rowOff>
        </xdr:to>
        <xdr:sp macro="" textlink="">
          <xdr:nvSpPr>
            <xdr:cNvPr id="1029" name="ComboBox2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Таблица1" displayName="Таблица1" ref="A3:A5" totalsRowShown="0" headerRowDxfId="2" dataDxfId="1">
  <autoFilter ref="A3:A5"/>
  <tableColumns count="1">
    <tableColumn id="1" name="покраска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C3:C10" totalsRowShown="0">
  <autoFilter ref="C3:C10"/>
  <tableColumns count="1">
    <tableColumn id="1" name="мат/лам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F3:F9" totalsRowShown="0">
  <autoFilter ref="F3:F9"/>
  <tableColumns count="1">
    <tableColumn id="1" name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H3:H36" totalsRowShown="0">
  <autoFilter ref="H3:H36"/>
  <sortState ref="H4:H28">
    <sortCondition ref="H4"/>
  </sortState>
  <tableColumns count="1">
    <tableColumn id="1" name="R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>
    <pageSetUpPr fitToPage="1"/>
  </sheetPr>
  <dimension ref="A1:Q60"/>
  <sheetViews>
    <sheetView tabSelected="1" view="pageBreakPreview" zoomScaleSheetLayoutView="100" workbookViewId="0">
      <selection activeCell="J18" sqref="J18:J19"/>
    </sheetView>
  </sheetViews>
  <sheetFormatPr defaultRowHeight="15" x14ac:dyDescent="0.25"/>
  <cols>
    <col min="1" max="1" width="5.42578125" style="2" customWidth="1"/>
    <col min="2" max="2" width="11" style="2" customWidth="1"/>
    <col min="3" max="3" width="10.5703125" style="2" customWidth="1"/>
    <col min="4" max="7" width="13.140625" style="2" customWidth="1"/>
    <col min="8" max="8" width="5.140625" style="2" customWidth="1"/>
    <col min="9" max="9" width="18.140625" style="2" customWidth="1"/>
    <col min="10" max="10" width="15.5703125" style="2" customWidth="1"/>
    <col min="11" max="11" width="14.7109375" style="2" customWidth="1"/>
    <col min="12" max="12" width="15.5703125" style="2" customWidth="1"/>
    <col min="13" max="13" width="13.42578125" style="2" customWidth="1"/>
    <col min="14" max="14" width="21.28515625" style="2" customWidth="1"/>
    <col min="15" max="15" width="17.7109375" style="2" customWidth="1"/>
    <col min="16" max="16" width="13.28515625" style="2" customWidth="1"/>
    <col min="17" max="17" width="0.140625" style="2" customWidth="1"/>
    <col min="18" max="18" width="11.140625" style="2" bestFit="1" customWidth="1"/>
    <col min="19" max="16384" width="9.140625" style="2"/>
  </cols>
  <sheetData>
    <row r="1" spans="1:15" ht="46.5" x14ac:dyDescent="0.25">
      <c r="A1" s="9"/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6.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49"/>
      <c r="M3" s="3"/>
      <c r="N3" s="3"/>
    </row>
    <row r="4" spans="1:15" ht="15" customHeight="1" x14ac:dyDescent="0.25">
      <c r="B4" s="1"/>
      <c r="C4" s="1"/>
      <c r="D4" s="1"/>
      <c r="E4" s="1"/>
      <c r="F4" s="1"/>
      <c r="G4" s="1"/>
      <c r="H4" s="1"/>
      <c r="I4" s="1"/>
      <c r="J4" s="48"/>
      <c r="K4" s="3"/>
      <c r="L4" s="3"/>
      <c r="M4" s="3"/>
      <c r="N4" s="3"/>
    </row>
    <row r="5" spans="1:15" ht="18.75" customHeight="1" x14ac:dyDescent="0.25">
      <c r="B5" s="1"/>
      <c r="C5" s="1"/>
      <c r="D5" s="1"/>
      <c r="E5" s="1"/>
      <c r="F5" s="1"/>
      <c r="G5" s="1"/>
      <c r="H5" s="1"/>
      <c r="I5" s="11"/>
      <c r="J5" s="12"/>
      <c r="K5" s="1"/>
      <c r="L5" s="11"/>
      <c r="M5" s="138"/>
      <c r="N5" s="138"/>
    </row>
    <row r="6" spans="1:15" ht="27" customHeight="1" x14ac:dyDescent="0.25">
      <c r="B6" s="13"/>
      <c r="C6" s="13"/>
      <c r="D6" s="129" t="s">
        <v>18</v>
      </c>
      <c r="E6" s="130"/>
      <c r="F6" s="130"/>
      <c r="G6" s="83" t="s">
        <v>78</v>
      </c>
      <c r="H6" s="14" t="s">
        <v>17</v>
      </c>
      <c r="I6" s="45">
        <v>46154</v>
      </c>
      <c r="J6" s="15"/>
      <c r="K6" s="44" t="s">
        <v>59</v>
      </c>
      <c r="L6" s="131" t="s">
        <v>79</v>
      </c>
      <c r="M6" s="132"/>
      <c r="N6" s="133"/>
    </row>
    <row r="7" spans="1:15" ht="27" customHeight="1" x14ac:dyDescent="0.25">
      <c r="B7" s="13"/>
      <c r="C7" s="13"/>
      <c r="D7" s="50"/>
      <c r="E7" s="13"/>
      <c r="F7" s="13"/>
      <c r="G7" s="52" t="s">
        <v>10</v>
      </c>
      <c r="H7" s="52"/>
      <c r="I7" s="53" t="s">
        <v>11</v>
      </c>
      <c r="J7" s="15"/>
      <c r="K7" s="16" t="s">
        <v>29</v>
      </c>
      <c r="L7" s="137" t="s">
        <v>27</v>
      </c>
      <c r="M7" s="137"/>
      <c r="N7" s="137"/>
    </row>
    <row r="8" spans="1:15" ht="27" customHeight="1" x14ac:dyDescent="0.25">
      <c r="B8" s="13"/>
      <c r="C8" s="13"/>
      <c r="D8" s="150"/>
      <c r="E8" s="151"/>
      <c r="F8" s="151"/>
      <c r="G8" s="134"/>
      <c r="H8" s="134"/>
      <c r="I8" s="134"/>
      <c r="J8" s="15"/>
      <c r="K8" s="16"/>
      <c r="L8" s="140" t="s">
        <v>20</v>
      </c>
      <c r="M8" s="141"/>
      <c r="N8" s="46">
        <v>46154</v>
      </c>
    </row>
    <row r="9" spans="1:15" ht="27" customHeight="1" x14ac:dyDescent="0.25">
      <c r="B9" s="13"/>
      <c r="C9" s="13"/>
      <c r="D9" s="13"/>
      <c r="E9" s="13"/>
      <c r="F9" s="13"/>
      <c r="G9" s="13"/>
      <c r="H9" s="13"/>
      <c r="I9" s="13"/>
      <c r="J9" s="13"/>
      <c r="K9" s="54"/>
      <c r="L9" s="142" t="s">
        <v>21</v>
      </c>
      <c r="M9" s="143"/>
      <c r="N9" s="46">
        <v>46175</v>
      </c>
    </row>
    <row r="10" spans="1:15" s="19" customFormat="1" ht="27" customHeight="1" x14ac:dyDescent="0.25">
      <c r="A10" s="17"/>
      <c r="B10" s="155" t="s">
        <v>30</v>
      </c>
      <c r="C10" s="155"/>
      <c r="D10" s="155" t="s">
        <v>33</v>
      </c>
      <c r="E10" s="155"/>
      <c r="F10" s="102">
        <v>19</v>
      </c>
      <c r="G10" s="155" t="s">
        <v>80</v>
      </c>
      <c r="H10" s="155"/>
      <c r="I10" s="155"/>
      <c r="J10" s="17"/>
      <c r="K10" s="18"/>
      <c r="L10" s="144" t="s">
        <v>22</v>
      </c>
      <c r="M10" s="145"/>
      <c r="N10" s="46"/>
    </row>
    <row r="11" spans="1:15" s="19" customFormat="1" ht="27" customHeight="1" x14ac:dyDescent="0.25">
      <c r="A11" s="17"/>
      <c r="B11" s="156" t="s">
        <v>12</v>
      </c>
      <c r="C11" s="156"/>
      <c r="D11" s="135" t="s">
        <v>28</v>
      </c>
      <c r="E11" s="135"/>
      <c r="F11" s="51" t="s">
        <v>13</v>
      </c>
      <c r="G11" s="136" t="s">
        <v>82</v>
      </c>
      <c r="H11" s="136"/>
      <c r="I11" s="136"/>
      <c r="J11" s="17"/>
      <c r="K11" s="17"/>
      <c r="L11" s="17"/>
      <c r="M11" s="4"/>
      <c r="N11" s="21"/>
    </row>
    <row r="12" spans="1:15" ht="27" customHeight="1" x14ac:dyDescent="0.25">
      <c r="B12" s="21"/>
      <c r="C12" s="152">
        <v>9003</v>
      </c>
      <c r="D12" s="153"/>
      <c r="E12" s="153"/>
      <c r="F12" s="154"/>
      <c r="G12" s="88"/>
      <c r="H12" s="5"/>
      <c r="I12" s="5"/>
      <c r="J12" s="76"/>
      <c r="K12" s="16"/>
      <c r="L12" s="146" t="s">
        <v>9</v>
      </c>
      <c r="M12" s="147"/>
      <c r="N12" s="47"/>
      <c r="O12" s="22"/>
    </row>
    <row r="13" spans="1:15" ht="27" customHeight="1" x14ac:dyDescent="0.25">
      <c r="B13" s="5"/>
      <c r="C13" s="148" t="s">
        <v>19</v>
      </c>
      <c r="D13" s="149"/>
      <c r="E13" s="149"/>
      <c r="F13" s="149"/>
      <c r="G13" s="5"/>
      <c r="H13" s="5"/>
      <c r="I13" s="5"/>
      <c r="J13" s="5"/>
      <c r="K13" s="16"/>
      <c r="L13" s="146" t="s">
        <v>8</v>
      </c>
      <c r="M13" s="147"/>
      <c r="N13" s="47">
        <v>16091.91</v>
      </c>
      <c r="O13" s="22"/>
    </row>
    <row r="14" spans="1:15" ht="27" customHeight="1" thickBot="1" x14ac:dyDescent="0.3">
      <c r="B14" s="5"/>
      <c r="C14" s="5"/>
      <c r="D14" s="5"/>
      <c r="E14" s="5"/>
      <c r="F14" s="5"/>
      <c r="G14" s="5"/>
      <c r="H14" s="5"/>
      <c r="I14" s="5"/>
      <c r="J14" s="23"/>
      <c r="K14" s="139" t="s">
        <v>67</v>
      </c>
      <c r="L14" s="139"/>
      <c r="M14" s="23"/>
      <c r="N14" s="23"/>
      <c r="O14" s="22"/>
    </row>
    <row r="15" spans="1:15" s="19" customFormat="1" ht="27" customHeight="1" thickBot="1" x14ac:dyDescent="0.3">
      <c r="A15" s="24"/>
      <c r="B15" s="6"/>
      <c r="C15" s="6"/>
      <c r="D15" s="116"/>
      <c r="E15" s="117"/>
      <c r="F15" s="117"/>
      <c r="G15" s="117"/>
      <c r="H15" s="117"/>
      <c r="I15" s="118"/>
      <c r="J15" s="25" t="s">
        <v>16</v>
      </c>
      <c r="K15" s="109">
        <f>SUM(L18:L20)</f>
        <v>1.38425</v>
      </c>
      <c r="L15" s="110"/>
      <c r="M15" s="64" t="s">
        <v>15</v>
      </c>
      <c r="N15" s="86">
        <f>SUM(N18:N20)/100*93</f>
        <v>16091.90625</v>
      </c>
      <c r="O15" s="12"/>
    </row>
    <row r="16" spans="1:15" s="19" customFormat="1" ht="19.5" thickBot="1" x14ac:dyDescent="0.3">
      <c r="A16" s="55"/>
      <c r="B16" s="114" t="s">
        <v>26</v>
      </c>
      <c r="C16" s="115"/>
      <c r="D16" s="56"/>
      <c r="E16" s="63"/>
      <c r="F16" s="64"/>
      <c r="G16" s="64"/>
      <c r="H16" s="64"/>
      <c r="I16" s="62"/>
      <c r="J16" s="63"/>
      <c r="K16" s="111" t="s">
        <v>14</v>
      </c>
      <c r="L16" s="112"/>
      <c r="M16" s="92"/>
      <c r="N16" s="101">
        <f>SUM(N18:N20)</f>
        <v>17303.125</v>
      </c>
      <c r="O16" s="12"/>
    </row>
    <row r="17" spans="1:15" s="19" customFormat="1" ht="19.5" thickBot="1" x14ac:dyDescent="0.3">
      <c r="A17" s="61"/>
      <c r="B17" s="65" t="s">
        <v>3</v>
      </c>
      <c r="C17" s="65" t="s">
        <v>2</v>
      </c>
      <c r="D17" s="66" t="s">
        <v>7</v>
      </c>
      <c r="E17" s="126" t="s">
        <v>5</v>
      </c>
      <c r="F17" s="127"/>
      <c r="G17" s="127"/>
      <c r="H17" s="127"/>
      <c r="I17" s="128"/>
      <c r="J17" s="67" t="s">
        <v>6</v>
      </c>
      <c r="K17" s="67" t="s">
        <v>0</v>
      </c>
      <c r="L17" s="67" t="s">
        <v>1</v>
      </c>
      <c r="M17" s="87" t="s">
        <v>0</v>
      </c>
      <c r="N17" s="87" t="s">
        <v>1</v>
      </c>
      <c r="O17" s="12"/>
    </row>
    <row r="18" spans="1:15" s="94" customFormat="1" ht="24" thickBot="1" x14ac:dyDescent="0.3">
      <c r="A18" s="99"/>
      <c r="B18" s="100">
        <v>1930</v>
      </c>
      <c r="C18" s="100">
        <v>565</v>
      </c>
      <c r="D18" s="100">
        <v>1</v>
      </c>
      <c r="E18" s="103" t="s">
        <v>81</v>
      </c>
      <c r="F18" s="104"/>
      <c r="G18" s="104"/>
      <c r="H18" s="104"/>
      <c r="I18" s="105"/>
      <c r="J18" s="60">
        <v>12500</v>
      </c>
      <c r="K18" s="95">
        <f t="shared" ref="K18:K19" si="0">B18*C18/1000000</f>
        <v>1.0904499999999999</v>
      </c>
      <c r="L18" s="96">
        <f t="shared" ref="L18:L19" si="1">K18*D18</f>
        <v>1.0904499999999999</v>
      </c>
      <c r="M18" s="97">
        <f t="shared" ref="M18:M19" si="2">K18*J18</f>
        <v>13630.624999999998</v>
      </c>
      <c r="N18" s="98">
        <f t="shared" ref="N18:N19" si="3">M18*D18</f>
        <v>13630.624999999998</v>
      </c>
      <c r="O18" s="93"/>
    </row>
    <row r="19" spans="1:15" s="94" customFormat="1" ht="24" thickBot="1" x14ac:dyDescent="0.3">
      <c r="A19" s="99"/>
      <c r="B19" s="100">
        <v>520</v>
      </c>
      <c r="C19" s="100">
        <v>565</v>
      </c>
      <c r="D19" s="100">
        <v>1</v>
      </c>
      <c r="E19" s="106"/>
      <c r="F19" s="107"/>
      <c r="G19" s="107"/>
      <c r="H19" s="107"/>
      <c r="I19" s="108"/>
      <c r="J19" s="60">
        <v>12500</v>
      </c>
      <c r="K19" s="95">
        <f t="shared" si="0"/>
        <v>0.29380000000000001</v>
      </c>
      <c r="L19" s="96">
        <f t="shared" si="1"/>
        <v>0.29380000000000001</v>
      </c>
      <c r="M19" s="97">
        <f t="shared" si="2"/>
        <v>3672.5</v>
      </c>
      <c r="N19" s="98">
        <f t="shared" si="3"/>
        <v>3672.5</v>
      </c>
      <c r="O19" s="93"/>
    </row>
    <row r="20" spans="1:15" ht="36.75" customHeight="1" thickBot="1" x14ac:dyDescent="0.3">
      <c r="A20" s="22"/>
      <c r="B20" s="57"/>
      <c r="C20" s="58"/>
      <c r="D20" s="59">
        <f>SUM(D18:D19)</f>
        <v>2</v>
      </c>
      <c r="E20" s="23"/>
      <c r="F20" s="23"/>
      <c r="G20" s="23"/>
      <c r="H20" s="23"/>
      <c r="I20" s="23"/>
      <c r="J20" s="23"/>
      <c r="K20" s="23"/>
      <c r="L20" s="26"/>
      <c r="M20" s="84"/>
      <c r="N20" s="85">
        <f t="shared" ref="N20" si="4">M20*D20</f>
        <v>0</v>
      </c>
    </row>
    <row r="21" spans="1:15" ht="15" customHeight="1" x14ac:dyDescent="0.25">
      <c r="A21" s="22"/>
      <c r="B21" s="21"/>
      <c r="C21" s="21"/>
      <c r="D21" s="21"/>
      <c r="E21" s="157" t="s">
        <v>77</v>
      </c>
      <c r="F21" s="158"/>
      <c r="G21" s="158"/>
      <c r="H21" s="158"/>
      <c r="I21" s="158"/>
      <c r="L21" s="27"/>
      <c r="M21" s="27"/>
      <c r="N21" s="27"/>
    </row>
    <row r="22" spans="1:15" ht="15.75" customHeight="1" x14ac:dyDescent="0.25">
      <c r="A22" s="22"/>
      <c r="B22" s="21"/>
      <c r="C22" s="21"/>
      <c r="D22" s="21"/>
      <c r="E22" s="158"/>
      <c r="F22" s="158"/>
      <c r="G22" s="158"/>
      <c r="H22" s="158"/>
      <c r="I22" s="158"/>
      <c r="L22" s="28"/>
      <c r="M22" s="29"/>
    </row>
    <row r="23" spans="1:15" ht="15.75" customHeight="1" x14ac:dyDescent="0.25">
      <c r="A23" s="22"/>
      <c r="B23" s="17"/>
      <c r="C23" s="20"/>
      <c r="D23" s="30"/>
      <c r="E23" s="158"/>
      <c r="F23" s="158"/>
      <c r="G23" s="158"/>
      <c r="H23" s="158"/>
      <c r="I23" s="158"/>
      <c r="L23" s="28"/>
      <c r="M23" s="29"/>
    </row>
    <row r="24" spans="1:15" ht="15" customHeight="1" x14ac:dyDescent="0.25">
      <c r="A24" s="22"/>
      <c r="B24" s="31"/>
      <c r="C24" s="31"/>
      <c r="D24" s="31"/>
      <c r="E24" s="158"/>
      <c r="F24" s="158"/>
      <c r="G24" s="158"/>
      <c r="H24" s="158"/>
      <c r="I24" s="158"/>
      <c r="L24" s="32"/>
      <c r="M24" s="33"/>
    </row>
    <row r="25" spans="1:15" ht="15" customHeight="1" x14ac:dyDescent="0.25">
      <c r="A25" s="22"/>
      <c r="B25" s="5"/>
      <c r="C25" s="5"/>
      <c r="D25" s="23"/>
      <c r="E25" s="158"/>
      <c r="F25" s="158"/>
      <c r="G25" s="158"/>
      <c r="H25" s="158"/>
      <c r="I25" s="158"/>
      <c r="L25" s="32"/>
      <c r="M25" s="33"/>
    </row>
    <row r="26" spans="1:15" ht="15" customHeight="1" x14ac:dyDescent="0.25">
      <c r="B26" s="34"/>
      <c r="C26" s="22"/>
      <c r="I26" s="120" t="s">
        <v>68</v>
      </c>
      <c r="J26" s="121"/>
      <c r="K26" s="121"/>
      <c r="L26" s="121"/>
      <c r="M26" s="121"/>
      <c r="N26" s="121"/>
    </row>
    <row r="27" spans="1:15" ht="15.75" customHeight="1" x14ac:dyDescent="0.25">
      <c r="B27" s="22"/>
      <c r="C27" s="22"/>
      <c r="I27" s="121"/>
      <c r="J27" s="121"/>
      <c r="K27" s="121"/>
      <c r="L27" s="121"/>
      <c r="M27" s="121"/>
      <c r="N27" s="121"/>
    </row>
    <row r="28" spans="1:15" ht="15" customHeight="1" x14ac:dyDescent="0.25">
      <c r="B28" s="22"/>
      <c r="C28" s="22"/>
      <c r="I28" s="121"/>
      <c r="J28" s="121"/>
      <c r="K28" s="121"/>
      <c r="L28" s="121"/>
      <c r="M28" s="121"/>
      <c r="N28" s="121"/>
    </row>
    <row r="29" spans="1:15" ht="15.75" customHeight="1" x14ac:dyDescent="0.25">
      <c r="B29" s="22"/>
      <c r="C29" s="22"/>
      <c r="I29" s="121"/>
      <c r="J29" s="121"/>
      <c r="K29" s="121"/>
      <c r="L29" s="121"/>
      <c r="M29" s="121"/>
      <c r="N29" s="121"/>
    </row>
    <row r="30" spans="1:15" ht="15" customHeight="1" x14ac:dyDescent="0.25">
      <c r="B30" s="22"/>
      <c r="C30" s="22"/>
      <c r="I30" s="121"/>
      <c r="J30" s="121"/>
      <c r="K30" s="121"/>
      <c r="L30" s="121"/>
      <c r="M30" s="121"/>
      <c r="N30" s="121"/>
    </row>
    <row r="31" spans="1:15" ht="15.75" customHeight="1" x14ac:dyDescent="0.25">
      <c r="L31" s="123"/>
      <c r="M31" s="123"/>
    </row>
    <row r="32" spans="1:15" ht="15" customHeight="1" x14ac:dyDescent="0.25">
      <c r="A32" s="35"/>
      <c r="E32" s="36"/>
      <c r="F32" s="36"/>
      <c r="G32" s="36"/>
      <c r="H32" s="36"/>
      <c r="I32" s="36"/>
      <c r="J32" s="37"/>
    </row>
    <row r="33" spans="1:17" ht="15.75" customHeight="1" thickBot="1" x14ac:dyDescent="0.3">
      <c r="A33" s="38"/>
      <c r="B33" s="38"/>
      <c r="C33" s="38" t="s">
        <v>23</v>
      </c>
      <c r="D33" s="38"/>
      <c r="E33" s="79"/>
      <c r="F33" s="81"/>
      <c r="G33" s="38"/>
      <c r="H33" s="38"/>
      <c r="I33" s="38"/>
      <c r="J33" s="124" t="s">
        <v>25</v>
      </c>
      <c r="K33" s="124"/>
      <c r="L33" s="80"/>
      <c r="M33" s="125" t="str">
        <f>L6</f>
        <v>Везувий</v>
      </c>
      <c r="N33" s="125"/>
      <c r="O33" s="39"/>
      <c r="P33" s="39"/>
      <c r="Q33" s="39"/>
    </row>
    <row r="34" spans="1:17" ht="15.75" x14ac:dyDescent="0.25">
      <c r="B34" s="7" t="s">
        <v>4</v>
      </c>
      <c r="D34" s="2" t="s">
        <v>24</v>
      </c>
      <c r="E34" s="40"/>
      <c r="F34" s="40"/>
      <c r="G34" s="39"/>
      <c r="H34" s="39"/>
      <c r="I34" s="39"/>
      <c r="J34" s="39"/>
      <c r="K34" s="2" t="s">
        <v>24</v>
      </c>
      <c r="M34" s="125"/>
      <c r="N34" s="125"/>
      <c r="O34" s="39"/>
      <c r="P34" s="39"/>
      <c r="Q34" s="39"/>
    </row>
    <row r="35" spans="1:17" s="7" customFormat="1" ht="15.75" customHeight="1" x14ac:dyDescent="0.25">
      <c r="B35" s="113" t="s">
        <v>76</v>
      </c>
      <c r="C35" s="113"/>
      <c r="D35" s="113"/>
      <c r="E35" s="113"/>
      <c r="F35" s="113"/>
      <c r="G35" s="113"/>
      <c r="L35" s="122"/>
      <c r="M35" s="122"/>
    </row>
    <row r="36" spans="1:17" s="7" customFormat="1" ht="15.75" customHeight="1" x14ac:dyDescent="0.25">
      <c r="B36" s="113"/>
      <c r="C36" s="113"/>
      <c r="D36" s="113"/>
      <c r="E36" s="113"/>
      <c r="F36" s="113"/>
      <c r="G36" s="113"/>
      <c r="L36" s="8"/>
      <c r="M36" s="8"/>
    </row>
    <row r="37" spans="1:17" ht="15.75" customHeight="1" x14ac:dyDescent="0.25">
      <c r="B37" s="113"/>
      <c r="C37" s="113"/>
      <c r="D37" s="113"/>
      <c r="E37" s="113"/>
      <c r="F37" s="113"/>
      <c r="G37" s="113"/>
      <c r="H37" s="7"/>
      <c r="J37" s="39"/>
      <c r="K37" s="39"/>
      <c r="L37" s="40"/>
      <c r="M37" s="82"/>
      <c r="N37" s="39"/>
    </row>
    <row r="38" spans="1:17" ht="17.25" customHeight="1" x14ac:dyDescent="0.25">
      <c r="B38" s="113"/>
      <c r="C38" s="113"/>
      <c r="D38" s="113"/>
      <c r="E38" s="113"/>
      <c r="F38" s="113"/>
      <c r="G38" s="113"/>
      <c r="H38" s="7"/>
      <c r="K38" s="39"/>
      <c r="L38" s="39"/>
      <c r="M38" s="39"/>
    </row>
    <row r="39" spans="1:17" ht="15.75" customHeight="1" x14ac:dyDescent="0.25">
      <c r="B39" s="113"/>
      <c r="C39" s="113"/>
      <c r="D39" s="113"/>
      <c r="E39" s="113"/>
      <c r="F39" s="113"/>
      <c r="G39" s="113"/>
      <c r="H39" s="7"/>
      <c r="K39" s="39"/>
      <c r="L39" s="39"/>
      <c r="M39" s="39"/>
    </row>
    <row r="40" spans="1:17" ht="15.75" x14ac:dyDescent="0.25">
      <c r="B40" s="113"/>
      <c r="C40" s="113"/>
      <c r="D40" s="113"/>
      <c r="E40" s="113"/>
      <c r="F40" s="113"/>
      <c r="G40" s="113"/>
      <c r="H40" s="7"/>
      <c r="K40" s="39"/>
      <c r="L40" s="39"/>
      <c r="M40" s="39"/>
    </row>
    <row r="41" spans="1:17" ht="15.75" customHeight="1" x14ac:dyDescent="0.25">
      <c r="B41" s="113"/>
      <c r="C41" s="113"/>
      <c r="D41" s="113"/>
      <c r="E41" s="113"/>
      <c r="F41" s="113"/>
      <c r="G41" s="113"/>
      <c r="H41" s="7"/>
    </row>
    <row r="42" spans="1:17" ht="23.25" customHeight="1" x14ac:dyDescent="0.25">
      <c r="B42" s="113"/>
      <c r="C42" s="113"/>
      <c r="D42" s="113"/>
      <c r="E42" s="113"/>
      <c r="F42" s="113"/>
      <c r="G42" s="113"/>
      <c r="H42" s="7"/>
      <c r="I42" s="91"/>
      <c r="J42" s="89"/>
    </row>
    <row r="43" spans="1:17" ht="18.75" customHeight="1" x14ac:dyDescent="0.25">
      <c r="B43" s="113"/>
      <c r="C43" s="113"/>
      <c r="D43" s="113"/>
      <c r="E43" s="113"/>
      <c r="F43" s="113"/>
      <c r="G43" s="113"/>
      <c r="H43" s="7"/>
      <c r="I43" s="90"/>
      <c r="J43" s="119"/>
      <c r="K43" s="119"/>
      <c r="L43" s="119"/>
      <c r="M43" s="119"/>
      <c r="N43" s="119"/>
    </row>
    <row r="44" spans="1:17" ht="18.75" customHeight="1" x14ac:dyDescent="0.25">
      <c r="B44" s="7"/>
      <c r="C44" s="7"/>
      <c r="D44" s="7"/>
      <c r="E44" s="7"/>
      <c r="F44" s="7"/>
      <c r="G44" s="7"/>
      <c r="H44" s="7"/>
      <c r="I44" s="90"/>
      <c r="J44" s="119"/>
      <c r="K44" s="119"/>
      <c r="L44" s="119"/>
      <c r="M44" s="119"/>
      <c r="N44" s="119"/>
    </row>
    <row r="45" spans="1:17" ht="18.75" customHeight="1" x14ac:dyDescent="0.25">
      <c r="B45" s="7"/>
      <c r="C45" s="7"/>
      <c r="D45" s="7"/>
      <c r="E45" s="7"/>
      <c r="F45" s="7"/>
      <c r="G45" s="7"/>
      <c r="H45" s="7"/>
      <c r="J45" s="119"/>
      <c r="K45" s="119"/>
      <c r="L45" s="119"/>
      <c r="M45" s="119"/>
      <c r="N45" s="119"/>
    </row>
    <row r="46" spans="1:17" ht="18.75" customHeight="1" x14ac:dyDescent="0.25"/>
    <row r="48" spans="1:17" ht="28.5" x14ac:dyDescent="0.25">
      <c r="B48" s="41"/>
    </row>
    <row r="54" spans="3:17" ht="15.75" thickBot="1" x14ac:dyDescent="0.3">
      <c r="C54" s="42"/>
    </row>
    <row r="56" spans="3:17" x14ac:dyDescent="0.25">
      <c r="Q56" s="43"/>
    </row>
    <row r="57" spans="3:17" x14ac:dyDescent="0.25">
      <c r="Q57" s="43"/>
    </row>
    <row r="58" spans="3:17" x14ac:dyDescent="0.25">
      <c r="Q58" s="43"/>
    </row>
    <row r="59" spans="3:17" x14ac:dyDescent="0.25">
      <c r="Q59" s="43"/>
    </row>
    <row r="60" spans="3:17" x14ac:dyDescent="0.25">
      <c r="Q60" s="43"/>
    </row>
  </sheetData>
  <mergeCells count="34">
    <mergeCell ref="C13:F13"/>
    <mergeCell ref="D8:F8"/>
    <mergeCell ref="C12:F12"/>
    <mergeCell ref="G10:I10"/>
    <mergeCell ref="D10:E10"/>
    <mergeCell ref="B10:C10"/>
    <mergeCell ref="B11:C11"/>
    <mergeCell ref="M5:N5"/>
    <mergeCell ref="K14:L14"/>
    <mergeCell ref="L8:M8"/>
    <mergeCell ref="L9:M9"/>
    <mergeCell ref="L10:M10"/>
    <mergeCell ref="L12:M12"/>
    <mergeCell ref="L13:M13"/>
    <mergeCell ref="D6:F6"/>
    <mergeCell ref="L6:N6"/>
    <mergeCell ref="G8:I8"/>
    <mergeCell ref="D11:E11"/>
    <mergeCell ref="G11:I11"/>
    <mergeCell ref="L7:N7"/>
    <mergeCell ref="E18:I19"/>
    <mergeCell ref="K15:L15"/>
    <mergeCell ref="K16:L16"/>
    <mergeCell ref="B35:G43"/>
    <mergeCell ref="B16:C16"/>
    <mergeCell ref="D15:I15"/>
    <mergeCell ref="J43:N45"/>
    <mergeCell ref="I26:N30"/>
    <mergeCell ref="L35:M35"/>
    <mergeCell ref="L31:M31"/>
    <mergeCell ref="J33:K33"/>
    <mergeCell ref="M33:N34"/>
    <mergeCell ref="E17:I17"/>
    <mergeCell ref="E21:I25"/>
  </mergeCells>
  <phoneticPr fontId="6" type="noConversion"/>
  <conditionalFormatting sqref="K15:L15">
    <cfRule type="cellIs" dxfId="4" priority="1" operator="lessThan">
      <formula>1</formula>
    </cfRule>
    <cfRule type="cellIs" dxfId="3" priority="2" operator="greaterThan">
      <formula>1</formula>
    </cfRule>
  </conditionalFormatting>
  <dataValidations count="3">
    <dataValidation type="list" allowBlank="1" showInputMessage="1" showErrorMessage="1" sqref="D10:E10">
      <formula1>тип</formula1>
    </dataValidation>
    <dataValidation type="list" allowBlank="1" showInputMessage="1" showErrorMessage="1" sqref="F10">
      <formula1>МДФ</formula1>
    </dataValidation>
    <dataValidation type="list" allowBlank="1" showInputMessage="1" showErrorMessage="1" sqref="K6">
      <formula1>ооо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4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ComboBox2">
          <controlPr autoLine="0" autoPict="0" linkedCell="B10" listFillRange="Лист1!A3:A20" r:id="rId5">
            <anchor moveWithCells="1">
              <from>
                <xdr:col>1</xdr:col>
                <xdr:colOff>19050</xdr:colOff>
                <xdr:row>9</xdr:row>
                <xdr:rowOff>9525</xdr:rowOff>
              </from>
              <to>
                <xdr:col>2</xdr:col>
                <xdr:colOff>685800</xdr:colOff>
                <xdr:row>9</xdr:row>
                <xdr:rowOff>333375</xdr:rowOff>
              </to>
            </anchor>
          </controlPr>
        </control>
      </mc:Choice>
      <mc:Fallback>
        <control shapeId="1029" r:id="rId4" name="ComboBox2"/>
      </mc:Fallback>
    </mc:AlternateContent>
    <mc:AlternateContent xmlns:mc="http://schemas.openxmlformats.org/markup-compatibility/2006">
      <mc:Choice Requires="x14">
        <control shapeId="1027" r:id="rId6" name="ComboBox1">
          <controlPr autoLine="0" autoPict="0" linkedCell="G10" listFillRange="Лист1!H3:H20" r:id="rId7">
            <anchor moveWithCells="1">
              <from>
                <xdr:col>6</xdr:col>
                <xdr:colOff>19050</xdr:colOff>
                <xdr:row>9</xdr:row>
                <xdr:rowOff>19050</xdr:rowOff>
              </from>
              <to>
                <xdr:col>8</xdr:col>
                <xdr:colOff>1200150</xdr:colOff>
                <xdr:row>10</xdr:row>
                <xdr:rowOff>0</xdr:rowOff>
              </to>
            </anchor>
          </controlPr>
        </control>
      </mc:Choice>
      <mc:Fallback>
        <control shapeId="1027" r:id="rId6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V28"/>
  <sheetViews>
    <sheetView workbookViewId="0">
      <selection activeCell="I28" sqref="I27:I28"/>
    </sheetView>
  </sheetViews>
  <sheetFormatPr defaultRowHeight="15" x14ac:dyDescent="0.25"/>
  <cols>
    <col min="1" max="1" width="11.42578125" customWidth="1"/>
    <col min="3" max="3" width="16.5703125" customWidth="1"/>
    <col min="8" max="8" width="18.7109375" customWidth="1"/>
    <col min="10" max="10" width="25.85546875" customWidth="1"/>
  </cols>
  <sheetData>
    <row r="1" spans="1:22" ht="21" x14ac:dyDescent="0.35">
      <c r="A1" s="71" t="s">
        <v>12</v>
      </c>
      <c r="B1" s="68"/>
      <c r="C1" s="72" t="s">
        <v>46</v>
      </c>
      <c r="D1" s="68"/>
      <c r="E1" s="68"/>
      <c r="F1" s="70" t="s">
        <v>48</v>
      </c>
      <c r="G1" s="73"/>
      <c r="H1" s="70" t="s">
        <v>47</v>
      </c>
      <c r="I1" s="68"/>
      <c r="J1" s="69" t="s">
        <v>58</v>
      </c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 ht="21" x14ac:dyDescent="0.35">
      <c r="A3" s="77" t="s">
        <v>30</v>
      </c>
      <c r="C3" t="s">
        <v>33</v>
      </c>
      <c r="F3" t="s">
        <v>44</v>
      </c>
      <c r="H3" t="s">
        <v>38</v>
      </c>
      <c r="I3" s="74"/>
      <c r="J3" s="74" t="s">
        <v>59</v>
      </c>
    </row>
    <row r="4" spans="1:22" ht="18.75" x14ac:dyDescent="0.3">
      <c r="A4" s="78" t="s">
        <v>31</v>
      </c>
      <c r="C4" t="s">
        <v>34</v>
      </c>
      <c r="F4">
        <v>16</v>
      </c>
      <c r="H4" t="s">
        <v>71</v>
      </c>
      <c r="I4" s="74"/>
      <c r="J4" s="75" t="s">
        <v>60</v>
      </c>
    </row>
    <row r="5" spans="1:22" ht="18.75" x14ac:dyDescent="0.3">
      <c r="A5" s="78" t="s">
        <v>32</v>
      </c>
      <c r="C5" t="s">
        <v>35</v>
      </c>
      <c r="F5">
        <v>19</v>
      </c>
      <c r="H5" t="s">
        <v>57</v>
      </c>
      <c r="I5" s="74"/>
      <c r="J5" s="75" t="s">
        <v>61</v>
      </c>
    </row>
    <row r="6" spans="1:22" x14ac:dyDescent="0.25">
      <c r="C6" t="s">
        <v>36</v>
      </c>
      <c r="F6">
        <v>22</v>
      </c>
      <c r="H6" t="s">
        <v>49</v>
      </c>
      <c r="I6" s="74"/>
      <c r="J6" s="75" t="s">
        <v>62</v>
      </c>
    </row>
    <row r="7" spans="1:22" x14ac:dyDescent="0.25">
      <c r="C7" t="s">
        <v>37</v>
      </c>
      <c r="F7">
        <v>25</v>
      </c>
      <c r="H7" t="s">
        <v>40</v>
      </c>
      <c r="I7" s="74"/>
      <c r="J7" s="75"/>
    </row>
    <row r="8" spans="1:22" x14ac:dyDescent="0.25">
      <c r="C8" t="s">
        <v>65</v>
      </c>
      <c r="F8">
        <v>32</v>
      </c>
      <c r="H8" t="s">
        <v>41</v>
      </c>
      <c r="I8" s="74"/>
      <c r="J8" s="75"/>
    </row>
    <row r="9" spans="1:22" x14ac:dyDescent="0.25">
      <c r="C9" t="s">
        <v>66</v>
      </c>
      <c r="F9">
        <v>38</v>
      </c>
      <c r="H9" t="s">
        <v>72</v>
      </c>
      <c r="I9" s="74"/>
      <c r="J9" s="75"/>
    </row>
    <row r="10" spans="1:22" x14ac:dyDescent="0.25">
      <c r="C10" t="s">
        <v>69</v>
      </c>
      <c r="H10" t="s">
        <v>64</v>
      </c>
      <c r="I10" s="74"/>
      <c r="J10" s="75"/>
    </row>
    <row r="11" spans="1:22" x14ac:dyDescent="0.25">
      <c r="H11" t="s">
        <v>39</v>
      </c>
      <c r="I11" s="74"/>
      <c r="J11" s="75"/>
    </row>
    <row r="12" spans="1:22" x14ac:dyDescent="0.25">
      <c r="H12" t="s">
        <v>50</v>
      </c>
      <c r="I12" s="74"/>
      <c r="J12" s="75"/>
    </row>
    <row r="13" spans="1:22" x14ac:dyDescent="0.25">
      <c r="H13" t="s">
        <v>56</v>
      </c>
      <c r="I13" s="74"/>
      <c r="J13" s="75"/>
    </row>
    <row r="14" spans="1:22" x14ac:dyDescent="0.25">
      <c r="H14" t="s">
        <v>63</v>
      </c>
      <c r="I14" s="74"/>
      <c r="J14" s="75"/>
    </row>
    <row r="15" spans="1:22" x14ac:dyDescent="0.25">
      <c r="H15" t="s">
        <v>45</v>
      </c>
      <c r="I15" s="74"/>
      <c r="J15" s="75"/>
    </row>
    <row r="16" spans="1:22" x14ac:dyDescent="0.25">
      <c r="H16" t="s">
        <v>70</v>
      </c>
      <c r="I16" s="74"/>
      <c r="J16" s="75"/>
    </row>
    <row r="17" spans="8:10" x14ac:dyDescent="0.25">
      <c r="H17" t="s">
        <v>53</v>
      </c>
      <c r="I17" s="74"/>
      <c r="J17" s="75"/>
    </row>
    <row r="18" spans="8:10" x14ac:dyDescent="0.25">
      <c r="H18" t="s">
        <v>73</v>
      </c>
      <c r="I18" s="74"/>
      <c r="J18" s="75"/>
    </row>
    <row r="19" spans="8:10" x14ac:dyDescent="0.25">
      <c r="H19" t="s">
        <v>43</v>
      </c>
      <c r="I19" s="74"/>
      <c r="J19" s="75"/>
    </row>
    <row r="20" spans="8:10" x14ac:dyDescent="0.25">
      <c r="H20" t="s">
        <v>55</v>
      </c>
      <c r="I20" s="74"/>
      <c r="J20" s="75"/>
    </row>
    <row r="21" spans="8:10" x14ac:dyDescent="0.25">
      <c r="H21" t="s">
        <v>42</v>
      </c>
      <c r="I21" s="74"/>
      <c r="J21" s="74"/>
    </row>
    <row r="22" spans="8:10" x14ac:dyDescent="0.25">
      <c r="H22" t="s">
        <v>52</v>
      </c>
      <c r="I22" s="74"/>
      <c r="J22" s="74"/>
    </row>
    <row r="23" spans="8:10" x14ac:dyDescent="0.25">
      <c r="H23" t="s">
        <v>54</v>
      </c>
      <c r="I23" s="74"/>
      <c r="J23" s="74"/>
    </row>
    <row r="24" spans="8:10" x14ac:dyDescent="0.25">
      <c r="H24" t="s">
        <v>51</v>
      </c>
      <c r="I24" s="74"/>
      <c r="J24" s="74"/>
    </row>
    <row r="25" spans="8:10" x14ac:dyDescent="0.25">
      <c r="H25" t="s">
        <v>74</v>
      </c>
      <c r="I25" s="74"/>
      <c r="J25" s="74"/>
    </row>
    <row r="26" spans="8:10" x14ac:dyDescent="0.25">
      <c r="H26" t="s">
        <v>75</v>
      </c>
      <c r="I26" s="74"/>
      <c r="J26" s="74"/>
    </row>
    <row r="27" spans="8:10" x14ac:dyDescent="0.25">
      <c r="I27" s="74"/>
      <c r="J27" s="74"/>
    </row>
    <row r="28" spans="8:10" x14ac:dyDescent="0.25">
      <c r="I28" s="74"/>
      <c r="J28" s="74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</vt:i4>
      </vt:variant>
    </vt:vector>
  </HeadingPairs>
  <TitlesOfParts>
    <vt:vector size="8" baseType="lpstr">
      <vt:lpstr>СПЕЦИФИКАЦИЯ</vt:lpstr>
      <vt:lpstr>Лист1</vt:lpstr>
      <vt:lpstr>категория</vt:lpstr>
      <vt:lpstr>край</vt:lpstr>
      <vt:lpstr>МДФ</vt:lpstr>
      <vt:lpstr>СПЕЦИФИКАЦИЯ!Область_печати</vt:lpstr>
      <vt:lpstr>ооо</vt:lpstr>
      <vt:lpstr>тип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lastModifiedBy>RePack by Diakov</cp:lastModifiedBy>
  <cp:lastPrinted>2026-05-12T12:17:13Z</cp:lastPrinted>
  <dcterms:created xsi:type="dcterms:W3CDTF">2010-07-24T20:01:14Z</dcterms:created>
  <dcterms:modified xsi:type="dcterms:W3CDTF">2026-05-12T12:26:46Z</dcterms:modified>
</cp:coreProperties>
</file>